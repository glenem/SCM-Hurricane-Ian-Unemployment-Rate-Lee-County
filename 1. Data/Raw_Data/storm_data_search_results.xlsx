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6128884c51ad5bc/Academics/My_Economics_Research/Labor Market Impact Hurricane Ian/SCM Hurricane Ian Unemployment Rate Lee County/1. Data/Raw_Data/"/>
    </mc:Choice>
  </mc:AlternateContent>
  <xr:revisionPtr revIDLastSave="5" documentId="13_ncr:9_{E113AC22-71A3-4E14-911E-B579B3B08834}" xr6:coauthVersionLast="47" xr6:coauthVersionMax="47" xr10:uidLastSave="{60F157A8-99F1-4FF7-8974-5CB8BD68A113}"/>
  <bookViews>
    <workbookView xWindow="-108" yWindow="-108" windowWidth="23256" windowHeight="12456" xr2:uid="{9933D1CC-37CD-4386-97B0-996A621F64CC}"/>
  </bookViews>
  <sheets>
    <sheet name="storm_data_search_results" sheetId="1" r:id="rId1"/>
    <sheet name="Match" sheetId="3" r:id="rId2"/>
    <sheet name="Validation" sheetId="2" r:id="rId3"/>
  </sheets>
  <definedNames>
    <definedName name="_xlnm._FilterDatabase" localSheetId="0" hidden="1">storm_data_search_results!$A$1:$AO$329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 l="1" a="1"/>
  <c r="A2" i="3" s="1"/>
  <c r="C44" i="1" s="1"/>
  <c r="D44" i="1" s="1"/>
  <c r="C139" i="1" l="1"/>
  <c r="D139" i="1" s="1"/>
  <c r="C113" i="1"/>
  <c r="D113" i="1" s="1"/>
  <c r="C112" i="1"/>
  <c r="D112" i="1" s="1"/>
  <c r="C111" i="1"/>
  <c r="D111" i="1" s="1"/>
  <c r="C110" i="1"/>
  <c r="D110" i="1" s="1"/>
  <c r="C109" i="1"/>
  <c r="D109" i="1" s="1"/>
  <c r="C82" i="1"/>
  <c r="D82" i="1" s="1"/>
  <c r="C254" i="1"/>
  <c r="D254" i="1" s="1"/>
  <c r="C172" i="1"/>
  <c r="D172" i="1" s="1"/>
  <c r="C315" i="1"/>
  <c r="D315" i="1" s="1"/>
  <c r="C251" i="1"/>
  <c r="D251" i="1" s="1"/>
  <c r="C162" i="1"/>
  <c r="D162" i="1" s="1"/>
  <c r="C307" i="1"/>
  <c r="D307" i="1" s="1"/>
  <c r="C226" i="1"/>
  <c r="D226" i="1" s="1"/>
  <c r="C143" i="1"/>
  <c r="D143" i="1" s="1"/>
  <c r="C306" i="1"/>
  <c r="D306" i="1" s="1"/>
  <c r="C225" i="1"/>
  <c r="D225" i="1" s="1"/>
  <c r="C142" i="1"/>
  <c r="D142" i="1" s="1"/>
  <c r="C305" i="1"/>
  <c r="D305" i="1" s="1"/>
  <c r="C224" i="1"/>
  <c r="D224" i="1" s="1"/>
  <c r="C141" i="1"/>
  <c r="D141" i="1" s="1"/>
  <c r="C304" i="1"/>
  <c r="D304" i="1" s="1"/>
  <c r="C223" i="1"/>
  <c r="D223" i="1" s="1"/>
  <c r="C140" i="1"/>
  <c r="D140" i="1" s="1"/>
  <c r="C286" i="1"/>
  <c r="D286" i="1" s="1"/>
  <c r="C222" i="1"/>
  <c r="D222" i="1" s="1"/>
  <c r="C285" i="1"/>
  <c r="D285" i="1" s="1"/>
  <c r="C221" i="1"/>
  <c r="D221" i="1" s="1"/>
  <c r="C284" i="1"/>
  <c r="D284" i="1" s="1"/>
  <c r="C203" i="1"/>
  <c r="D203" i="1" s="1"/>
  <c r="C283" i="1"/>
  <c r="D283" i="1" s="1"/>
  <c r="C195" i="1"/>
  <c r="D195" i="1" s="1"/>
  <c r="C275" i="1"/>
  <c r="D275" i="1" s="1"/>
  <c r="C194" i="1"/>
  <c r="D194" i="1" s="1"/>
  <c r="C274" i="1"/>
  <c r="D274" i="1" s="1"/>
  <c r="C193" i="1"/>
  <c r="D193" i="1" s="1"/>
  <c r="C256" i="1"/>
  <c r="D256" i="1" s="1"/>
  <c r="C192" i="1"/>
  <c r="D192" i="1" s="1"/>
  <c r="C255" i="1"/>
  <c r="D255" i="1" s="1"/>
  <c r="C173" i="1"/>
  <c r="D173" i="1" s="1"/>
  <c r="C81" i="1"/>
  <c r="D81" i="1" s="1"/>
  <c r="C80" i="1"/>
  <c r="D80" i="1" s="1"/>
  <c r="C79" i="1"/>
  <c r="D79" i="1" s="1"/>
  <c r="C253" i="1"/>
  <c r="D253" i="1" s="1"/>
  <c r="C171" i="1"/>
  <c r="D171" i="1" s="1"/>
  <c r="C316" i="1"/>
  <c r="D316" i="1" s="1"/>
  <c r="C252" i="1"/>
  <c r="D252" i="1" s="1"/>
  <c r="C163" i="1"/>
  <c r="D163" i="1" s="1"/>
  <c r="C78" i="1"/>
  <c r="D78" i="1" s="1"/>
  <c r="C50" i="1"/>
  <c r="D50" i="1" s="1"/>
  <c r="C49" i="1"/>
  <c r="D49" i="1" s="1"/>
  <c r="C48" i="1"/>
  <c r="D48" i="1" s="1"/>
  <c r="C47" i="1"/>
  <c r="D47" i="1" s="1"/>
  <c r="C46" i="1"/>
  <c r="D46" i="1" s="1"/>
  <c r="C131" i="1"/>
  <c r="D131" i="1" s="1"/>
  <c r="C273" i="1"/>
  <c r="D273" i="1" s="1"/>
  <c r="C190" i="1"/>
  <c r="D190" i="1" s="1"/>
  <c r="C76" i="1"/>
  <c r="D76" i="1" s="1"/>
  <c r="C2" i="1"/>
  <c r="D2" i="1" s="1"/>
  <c r="C12" i="1"/>
  <c r="D12" i="1" s="1"/>
  <c r="C13" i="1"/>
  <c r="D13" i="1" s="1"/>
  <c r="C14" i="1"/>
  <c r="D14" i="1" s="1"/>
  <c r="C15" i="1"/>
  <c r="D15" i="1" s="1"/>
  <c r="C16" i="1"/>
  <c r="D16" i="1" s="1"/>
  <c r="C17" i="1"/>
  <c r="D17" i="1" s="1"/>
  <c r="C18" i="1"/>
  <c r="D18" i="1" s="1"/>
  <c r="C3" i="1"/>
  <c r="D3" i="1" s="1"/>
  <c r="C4" i="1"/>
  <c r="D4" i="1" s="1"/>
  <c r="C20" i="1"/>
  <c r="D20" i="1" s="1"/>
  <c r="C36" i="1"/>
  <c r="D36" i="1" s="1"/>
  <c r="C52" i="1"/>
  <c r="D52" i="1" s="1"/>
  <c r="C68" i="1"/>
  <c r="D68" i="1" s="1"/>
  <c r="C84" i="1"/>
  <c r="D84" i="1" s="1"/>
  <c r="C100" i="1"/>
  <c r="D100" i="1" s="1"/>
  <c r="C116" i="1"/>
  <c r="D116" i="1" s="1"/>
  <c r="C132" i="1"/>
  <c r="D132" i="1" s="1"/>
  <c r="C148" i="1"/>
  <c r="D148" i="1" s="1"/>
  <c r="C164" i="1"/>
  <c r="D164" i="1" s="1"/>
  <c r="C180" i="1"/>
  <c r="D180" i="1" s="1"/>
  <c r="C196" i="1"/>
  <c r="D196" i="1" s="1"/>
  <c r="C212" i="1"/>
  <c r="D212" i="1" s="1"/>
  <c r="C228" i="1"/>
  <c r="D228" i="1" s="1"/>
  <c r="C244" i="1"/>
  <c r="D244" i="1" s="1"/>
  <c r="C260" i="1"/>
  <c r="D260" i="1" s="1"/>
  <c r="C276" i="1"/>
  <c r="D276" i="1" s="1"/>
  <c r="C292" i="1"/>
  <c r="D292" i="1" s="1"/>
  <c r="C308" i="1"/>
  <c r="D308" i="1" s="1"/>
  <c r="C324" i="1"/>
  <c r="D324" i="1" s="1"/>
  <c r="C101" i="1"/>
  <c r="D101" i="1" s="1"/>
  <c r="C149" i="1"/>
  <c r="D149" i="1" s="1"/>
  <c r="C181" i="1"/>
  <c r="D181" i="1" s="1"/>
  <c r="C229" i="1"/>
  <c r="D229" i="1" s="1"/>
  <c r="C261" i="1"/>
  <c r="D261" i="1" s="1"/>
  <c r="C293" i="1"/>
  <c r="D293" i="1" s="1"/>
  <c r="C309" i="1"/>
  <c r="D309" i="1" s="1"/>
  <c r="C22" i="1"/>
  <c r="D22" i="1" s="1"/>
  <c r="C54" i="1"/>
  <c r="D54" i="1" s="1"/>
  <c r="C86" i="1"/>
  <c r="D86" i="1" s="1"/>
  <c r="C118" i="1"/>
  <c r="D118" i="1" s="1"/>
  <c r="C134" i="1"/>
  <c r="D134" i="1" s="1"/>
  <c r="C166" i="1"/>
  <c r="D166" i="1" s="1"/>
  <c r="C198" i="1"/>
  <c r="D198" i="1" s="1"/>
  <c r="C230" i="1"/>
  <c r="D230" i="1" s="1"/>
  <c r="C262" i="1"/>
  <c r="D262" i="1" s="1"/>
  <c r="C294" i="1"/>
  <c r="D294" i="1" s="1"/>
  <c r="C326" i="1"/>
  <c r="D326" i="1" s="1"/>
  <c r="C328" i="1"/>
  <c r="D328" i="1" s="1"/>
  <c r="C57" i="1"/>
  <c r="D57" i="1" s="1"/>
  <c r="C121" i="1"/>
  <c r="D121" i="1" s="1"/>
  <c r="C153" i="1"/>
  <c r="D153" i="1" s="1"/>
  <c r="C201" i="1"/>
  <c r="D201" i="1" s="1"/>
  <c r="C265" i="1"/>
  <c r="D265" i="1" s="1"/>
  <c r="C313" i="1"/>
  <c r="D313" i="1" s="1"/>
  <c r="C58" i="1"/>
  <c r="D58" i="1" s="1"/>
  <c r="C106" i="1"/>
  <c r="D106" i="1" s="1"/>
  <c r="C154" i="1"/>
  <c r="D154" i="1" s="1"/>
  <c r="C202" i="1"/>
  <c r="D202" i="1" s="1"/>
  <c r="C250" i="1"/>
  <c r="D250" i="1" s="1"/>
  <c r="C282" i="1"/>
  <c r="D282" i="1" s="1"/>
  <c r="C5" i="1"/>
  <c r="D5" i="1" s="1"/>
  <c r="C21" i="1"/>
  <c r="D21" i="1" s="1"/>
  <c r="C37" i="1"/>
  <c r="D37" i="1" s="1"/>
  <c r="C53" i="1"/>
  <c r="D53" i="1" s="1"/>
  <c r="C69" i="1"/>
  <c r="D69" i="1" s="1"/>
  <c r="C85" i="1"/>
  <c r="D85" i="1" s="1"/>
  <c r="C117" i="1"/>
  <c r="D117" i="1" s="1"/>
  <c r="C133" i="1"/>
  <c r="D133" i="1" s="1"/>
  <c r="C165" i="1"/>
  <c r="D165" i="1" s="1"/>
  <c r="C197" i="1"/>
  <c r="D197" i="1" s="1"/>
  <c r="C213" i="1"/>
  <c r="D213" i="1" s="1"/>
  <c r="C245" i="1"/>
  <c r="D245" i="1" s="1"/>
  <c r="C277" i="1"/>
  <c r="D277" i="1" s="1"/>
  <c r="C325" i="1"/>
  <c r="D325" i="1" s="1"/>
  <c r="C38" i="1"/>
  <c r="D38" i="1" s="1"/>
  <c r="C70" i="1"/>
  <c r="D70" i="1" s="1"/>
  <c r="C102" i="1"/>
  <c r="D102" i="1" s="1"/>
  <c r="C150" i="1"/>
  <c r="D150" i="1" s="1"/>
  <c r="C182" i="1"/>
  <c r="D182" i="1" s="1"/>
  <c r="C214" i="1"/>
  <c r="D214" i="1" s="1"/>
  <c r="C246" i="1"/>
  <c r="D246" i="1" s="1"/>
  <c r="C278" i="1"/>
  <c r="D278" i="1" s="1"/>
  <c r="C310" i="1"/>
  <c r="D310" i="1" s="1"/>
  <c r="C25" i="1"/>
  <c r="D25" i="1" s="1"/>
  <c r="C73" i="1"/>
  <c r="D73" i="1" s="1"/>
  <c r="C89" i="1"/>
  <c r="D89" i="1" s="1"/>
  <c r="C137" i="1"/>
  <c r="D137" i="1" s="1"/>
  <c r="C185" i="1"/>
  <c r="D185" i="1" s="1"/>
  <c r="C233" i="1"/>
  <c r="D233" i="1" s="1"/>
  <c r="C297" i="1"/>
  <c r="D297" i="1" s="1"/>
  <c r="C26" i="1"/>
  <c r="D26" i="1" s="1"/>
  <c r="C74" i="1"/>
  <c r="D74" i="1" s="1"/>
  <c r="C90" i="1"/>
  <c r="D90" i="1" s="1"/>
  <c r="C138" i="1"/>
  <c r="D138" i="1" s="1"/>
  <c r="C186" i="1"/>
  <c r="D186" i="1" s="1"/>
  <c r="C234" i="1"/>
  <c r="D234" i="1" s="1"/>
  <c r="C298" i="1"/>
  <c r="D298" i="1" s="1"/>
  <c r="C27" i="1"/>
  <c r="D27" i="1" s="1"/>
  <c r="C75" i="1"/>
  <c r="D75" i="1" s="1"/>
  <c r="C107" i="1"/>
  <c r="D107" i="1" s="1"/>
  <c r="C6" i="1"/>
  <c r="D6" i="1" s="1"/>
  <c r="C7" i="1"/>
  <c r="D7" i="1" s="1"/>
  <c r="C23" i="1"/>
  <c r="D23" i="1" s="1"/>
  <c r="C39" i="1"/>
  <c r="D39" i="1" s="1"/>
  <c r="C55" i="1"/>
  <c r="D55" i="1" s="1"/>
  <c r="C71" i="1"/>
  <c r="D71" i="1" s="1"/>
  <c r="C87" i="1"/>
  <c r="D87" i="1" s="1"/>
  <c r="C103" i="1"/>
  <c r="D103" i="1" s="1"/>
  <c r="C119" i="1"/>
  <c r="D119" i="1" s="1"/>
  <c r="C135" i="1"/>
  <c r="D135" i="1" s="1"/>
  <c r="C151" i="1"/>
  <c r="D151" i="1" s="1"/>
  <c r="C167" i="1"/>
  <c r="D167" i="1" s="1"/>
  <c r="C183" i="1"/>
  <c r="D183" i="1" s="1"/>
  <c r="C199" i="1"/>
  <c r="D199" i="1" s="1"/>
  <c r="C215" i="1"/>
  <c r="D215" i="1" s="1"/>
  <c r="C231" i="1"/>
  <c r="D231" i="1" s="1"/>
  <c r="C247" i="1"/>
  <c r="D247" i="1" s="1"/>
  <c r="C263" i="1"/>
  <c r="D263" i="1" s="1"/>
  <c r="C279" i="1"/>
  <c r="D279" i="1" s="1"/>
  <c r="C295" i="1"/>
  <c r="D295" i="1" s="1"/>
  <c r="C311" i="1"/>
  <c r="D311" i="1" s="1"/>
  <c r="C327" i="1"/>
  <c r="D327" i="1" s="1"/>
  <c r="C24" i="1"/>
  <c r="D24" i="1" s="1"/>
  <c r="C40" i="1"/>
  <c r="D40" i="1" s="1"/>
  <c r="C56" i="1"/>
  <c r="D56" i="1" s="1"/>
  <c r="C72" i="1"/>
  <c r="D72" i="1" s="1"/>
  <c r="C88" i="1"/>
  <c r="D88" i="1" s="1"/>
  <c r="C104" i="1"/>
  <c r="D104" i="1" s="1"/>
  <c r="C120" i="1"/>
  <c r="D120" i="1" s="1"/>
  <c r="C136" i="1"/>
  <c r="D136" i="1" s="1"/>
  <c r="C152" i="1"/>
  <c r="D152" i="1" s="1"/>
  <c r="C168" i="1"/>
  <c r="D168" i="1" s="1"/>
  <c r="C184" i="1"/>
  <c r="D184" i="1" s="1"/>
  <c r="C200" i="1"/>
  <c r="D200" i="1" s="1"/>
  <c r="C216" i="1"/>
  <c r="D216" i="1" s="1"/>
  <c r="C232" i="1"/>
  <c r="D232" i="1" s="1"/>
  <c r="C248" i="1"/>
  <c r="D248" i="1" s="1"/>
  <c r="C264" i="1"/>
  <c r="D264" i="1" s="1"/>
  <c r="C280" i="1"/>
  <c r="D280" i="1" s="1"/>
  <c r="C296" i="1"/>
  <c r="D296" i="1" s="1"/>
  <c r="C312" i="1"/>
  <c r="D312" i="1" s="1"/>
  <c r="C41" i="1"/>
  <c r="D41" i="1" s="1"/>
  <c r="C105" i="1"/>
  <c r="D105" i="1" s="1"/>
  <c r="C169" i="1"/>
  <c r="D169" i="1" s="1"/>
  <c r="C217" i="1"/>
  <c r="D217" i="1" s="1"/>
  <c r="C249" i="1"/>
  <c r="D249" i="1" s="1"/>
  <c r="C281" i="1"/>
  <c r="D281" i="1" s="1"/>
  <c r="C329" i="1"/>
  <c r="D329" i="1" s="1"/>
  <c r="C42" i="1"/>
  <c r="D42" i="1" s="1"/>
  <c r="C122" i="1"/>
  <c r="D122" i="1" s="1"/>
  <c r="C170" i="1"/>
  <c r="D170" i="1" s="1"/>
  <c r="C218" i="1"/>
  <c r="D218" i="1" s="1"/>
  <c r="C266" i="1"/>
  <c r="D266" i="1" s="1"/>
  <c r="C314" i="1"/>
  <c r="D314" i="1" s="1"/>
  <c r="C11" i="1"/>
  <c r="D11" i="1" s="1"/>
  <c r="C43" i="1"/>
  <c r="D43" i="1" s="1"/>
  <c r="C59" i="1"/>
  <c r="D59" i="1" s="1"/>
  <c r="C8" i="1"/>
  <c r="D8" i="1" s="1"/>
  <c r="C9" i="1"/>
  <c r="D9" i="1" s="1"/>
  <c r="C10" i="1"/>
  <c r="D10" i="1" s="1"/>
  <c r="C301" i="1"/>
  <c r="D301" i="1" s="1"/>
  <c r="C271" i="1"/>
  <c r="D271" i="1" s="1"/>
  <c r="C241" i="1"/>
  <c r="D241" i="1" s="1"/>
  <c r="C211" i="1"/>
  <c r="D211" i="1" s="1"/>
  <c r="C188" i="1"/>
  <c r="D188" i="1" s="1"/>
  <c r="C158" i="1"/>
  <c r="D158" i="1" s="1"/>
  <c r="C128" i="1"/>
  <c r="D128" i="1" s="1"/>
  <c r="C97" i="1"/>
  <c r="D97" i="1" s="1"/>
  <c r="C66" i="1"/>
  <c r="D66" i="1" s="1"/>
  <c r="C34" i="1"/>
  <c r="D34" i="1" s="1"/>
  <c r="C45" i="1"/>
  <c r="D45" i="1" s="1"/>
  <c r="C220" i="1"/>
  <c r="D220" i="1" s="1"/>
  <c r="C189" i="1"/>
  <c r="D189" i="1" s="1"/>
  <c r="C159" i="1"/>
  <c r="D159" i="1" s="1"/>
  <c r="C129" i="1"/>
  <c r="D129" i="1" s="1"/>
  <c r="C98" i="1"/>
  <c r="D98" i="1" s="1"/>
  <c r="C67" i="1"/>
  <c r="D67" i="1" s="1"/>
  <c r="C35" i="1"/>
  <c r="D35" i="1" s="1"/>
  <c r="C323" i="1"/>
  <c r="D323" i="1" s="1"/>
  <c r="C300" i="1"/>
  <c r="D300" i="1" s="1"/>
  <c r="C270" i="1"/>
  <c r="D270" i="1" s="1"/>
  <c r="C240" i="1"/>
  <c r="D240" i="1" s="1"/>
  <c r="C210" i="1"/>
  <c r="D210" i="1" s="1"/>
  <c r="C187" i="1"/>
  <c r="D187" i="1" s="1"/>
  <c r="C157" i="1"/>
  <c r="D157" i="1" s="1"/>
  <c r="C127" i="1"/>
  <c r="D127" i="1" s="1"/>
  <c r="C96" i="1"/>
  <c r="D96" i="1" s="1"/>
  <c r="C65" i="1"/>
  <c r="D65" i="1" s="1"/>
  <c r="C33" i="1"/>
  <c r="D33" i="1" s="1"/>
  <c r="C77" i="1"/>
  <c r="D77" i="1" s="1"/>
  <c r="C160" i="1"/>
  <c r="D160" i="1" s="1"/>
  <c r="C272" i="1"/>
  <c r="D272" i="1" s="1"/>
  <c r="C299" i="1"/>
  <c r="D299" i="1" s="1"/>
  <c r="C209" i="1"/>
  <c r="D209" i="1" s="1"/>
  <c r="C179" i="1"/>
  <c r="D179" i="1" s="1"/>
  <c r="C156" i="1"/>
  <c r="D156" i="1" s="1"/>
  <c r="C126" i="1"/>
  <c r="D126" i="1" s="1"/>
  <c r="C95" i="1"/>
  <c r="D95" i="1" s="1"/>
  <c r="C64" i="1"/>
  <c r="D64" i="1" s="1"/>
  <c r="C32" i="1"/>
  <c r="D32" i="1" s="1"/>
  <c r="C321" i="1"/>
  <c r="D321" i="1" s="1"/>
  <c r="C291" i="1"/>
  <c r="D291" i="1" s="1"/>
  <c r="C268" i="1"/>
  <c r="D268" i="1" s="1"/>
  <c r="C238" i="1"/>
  <c r="D238" i="1" s="1"/>
  <c r="C208" i="1"/>
  <c r="D208" i="1" s="1"/>
  <c r="C178" i="1"/>
  <c r="D178" i="1" s="1"/>
  <c r="C155" i="1"/>
  <c r="D155" i="1" s="1"/>
  <c r="C125" i="1"/>
  <c r="D125" i="1" s="1"/>
  <c r="C94" i="1"/>
  <c r="D94" i="1" s="1"/>
  <c r="C63" i="1"/>
  <c r="D63" i="1" s="1"/>
  <c r="C31" i="1"/>
  <c r="D31" i="1" s="1"/>
  <c r="C191" i="1"/>
  <c r="D191" i="1" s="1"/>
  <c r="C108" i="1"/>
  <c r="D108" i="1" s="1"/>
  <c r="C243" i="1"/>
  <c r="D243" i="1" s="1"/>
  <c r="C130" i="1"/>
  <c r="D130" i="1" s="1"/>
  <c r="C219" i="1"/>
  <c r="D219" i="1" s="1"/>
  <c r="C322" i="1"/>
  <c r="D322" i="1" s="1"/>
  <c r="C239" i="1"/>
  <c r="D239" i="1" s="1"/>
  <c r="C290" i="1"/>
  <c r="D290" i="1" s="1"/>
  <c r="C267" i="1"/>
  <c r="D267" i="1" s="1"/>
  <c r="C207" i="1"/>
  <c r="D207" i="1" s="1"/>
  <c r="C177" i="1"/>
  <c r="D177" i="1" s="1"/>
  <c r="C124" i="1"/>
  <c r="D124" i="1" s="1"/>
  <c r="C93" i="1"/>
  <c r="D93" i="1" s="1"/>
  <c r="C30" i="1"/>
  <c r="D30" i="1" s="1"/>
  <c r="C259" i="1"/>
  <c r="D259" i="1" s="1"/>
  <c r="C236" i="1"/>
  <c r="D236" i="1" s="1"/>
  <c r="C176" i="1"/>
  <c r="D176" i="1" s="1"/>
  <c r="C146" i="1"/>
  <c r="D146" i="1" s="1"/>
  <c r="C123" i="1"/>
  <c r="D123" i="1" s="1"/>
  <c r="C92" i="1"/>
  <c r="D92" i="1" s="1"/>
  <c r="C29" i="1"/>
  <c r="D29" i="1" s="1"/>
  <c r="C318" i="1"/>
  <c r="D318" i="1" s="1"/>
  <c r="C288" i="1"/>
  <c r="D288" i="1" s="1"/>
  <c r="C258" i="1"/>
  <c r="D258" i="1" s="1"/>
  <c r="C235" i="1"/>
  <c r="D235" i="1" s="1"/>
  <c r="C205" i="1"/>
  <c r="D205" i="1" s="1"/>
  <c r="C175" i="1"/>
  <c r="D175" i="1" s="1"/>
  <c r="C145" i="1"/>
  <c r="D145" i="1" s="1"/>
  <c r="C115" i="1"/>
  <c r="D115" i="1" s="1"/>
  <c r="C91" i="1"/>
  <c r="D91" i="1" s="1"/>
  <c r="C60" i="1"/>
  <c r="D60" i="1" s="1"/>
  <c r="C28" i="1"/>
  <c r="D28" i="1" s="1"/>
  <c r="C161" i="1"/>
  <c r="D161" i="1" s="1"/>
  <c r="C303" i="1"/>
  <c r="D303" i="1" s="1"/>
  <c r="C99" i="1"/>
  <c r="D99" i="1" s="1"/>
  <c r="C302" i="1"/>
  <c r="D302" i="1" s="1"/>
  <c r="C242" i="1"/>
  <c r="D242" i="1" s="1"/>
  <c r="C269" i="1"/>
  <c r="D269" i="1" s="1"/>
  <c r="C320" i="1"/>
  <c r="D320" i="1" s="1"/>
  <c r="C237" i="1"/>
  <c r="D237" i="1" s="1"/>
  <c r="C147" i="1"/>
  <c r="D147" i="1" s="1"/>
  <c r="C62" i="1"/>
  <c r="D62" i="1" s="1"/>
  <c r="C319" i="1"/>
  <c r="D319" i="1" s="1"/>
  <c r="C289" i="1"/>
  <c r="D289" i="1" s="1"/>
  <c r="C206" i="1"/>
  <c r="D206" i="1" s="1"/>
  <c r="C61" i="1"/>
  <c r="D61" i="1" s="1"/>
  <c r="C317" i="1"/>
  <c r="D317" i="1" s="1"/>
  <c r="C287" i="1"/>
  <c r="D287" i="1" s="1"/>
  <c r="C257" i="1"/>
  <c r="D257" i="1" s="1"/>
  <c r="C227" i="1"/>
  <c r="D227" i="1" s="1"/>
  <c r="C204" i="1"/>
  <c r="D204" i="1" s="1"/>
  <c r="C174" i="1"/>
  <c r="D174" i="1" s="1"/>
  <c r="C144" i="1"/>
  <c r="D144" i="1" s="1"/>
  <c r="C114" i="1"/>
  <c r="D114" i="1" s="1"/>
  <c r="C83" i="1"/>
  <c r="D83" i="1" s="1"/>
  <c r="C51" i="1"/>
  <c r="D51" i="1" s="1"/>
  <c r="C19" i="1"/>
  <c r="D1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<sst xmlns="http://schemas.openxmlformats.org/spreadsheetml/2006/main" count="8309" uniqueCount="480">
  <si>
    <t>EVENT_ID</t>
  </si>
  <si>
    <t>CZ_NAME_STR</t>
  </si>
  <si>
    <t>BEGIN_LOCATION</t>
  </si>
  <si>
    <t>BEGIN_DATE</t>
  </si>
  <si>
    <t>BEGIN_TIME</t>
  </si>
  <si>
    <t>EVENT_TYPE</t>
  </si>
  <si>
    <t>MAGNITUDE</t>
  </si>
  <si>
    <t>TOR_F_SCALE</t>
  </si>
  <si>
    <t>DEATHS_DIRECT</t>
  </si>
  <si>
    <t>INJURIES_DIRECT</t>
  </si>
  <si>
    <t>DAMAGE_PROPERTY_NUM</t>
  </si>
  <si>
    <t>DAMAGE_CROPS_NUM</t>
  </si>
  <si>
    <t>STATE_ABBR</t>
  </si>
  <si>
    <t>CZ_TIMEZONE</t>
  </si>
  <si>
    <t>MAGNITUDE_TYPE</t>
  </si>
  <si>
    <t>EPISODE_ID</t>
  </si>
  <si>
    <t>CZ_TYPE</t>
  </si>
  <si>
    <t>CZ_FIPS</t>
  </si>
  <si>
    <t>WFO</t>
  </si>
  <si>
    <t>INJURIES_INDIRECT</t>
  </si>
  <si>
    <t>DEATHS_INDIRECT</t>
  </si>
  <si>
    <t>SOURCE</t>
  </si>
  <si>
    <t>FLOOD_CAUSE</t>
  </si>
  <si>
    <t>TOR_LENGTH</t>
  </si>
  <si>
    <t>TOR_WIDTH</t>
  </si>
  <si>
    <t>BEGIN_RANGE</t>
  </si>
  <si>
    <t>BEGIN_AZIMUTH</t>
  </si>
  <si>
    <t>END_RANGE</t>
  </si>
  <si>
    <t>END_AZIMUTH</t>
  </si>
  <si>
    <t>END_LOCATION</t>
  </si>
  <si>
    <t>END_DATE</t>
  </si>
  <si>
    <t>END_TIME</t>
  </si>
  <si>
    <t>BEGIN_LAT</t>
  </si>
  <si>
    <t>BEGIN_LON</t>
  </si>
  <si>
    <t>END_LAT</t>
  </si>
  <si>
    <t>END_LON</t>
  </si>
  <si>
    <t>EVENT_NARRATIVE</t>
  </si>
  <si>
    <t>EPISODE_NARRATIVE</t>
  </si>
  <si>
    <t>ABSOLUTE_ROWNUMBER</t>
  </si>
  <si>
    <t>COASTAL PALM BEACH (ZONE)</t>
  </si>
  <si>
    <t xml:space="preserve"> </t>
  </si>
  <si>
    <t>Hurricane (Typhoon)</t>
  </si>
  <si>
    <t>FL</t>
  </si>
  <si>
    <t>EST</t>
  </si>
  <si>
    <t>Z</t>
  </si>
  <si>
    <t>MFL</t>
  </si>
  <si>
    <t>NEWSPAPER</t>
  </si>
  <si>
    <t>Large swells from Hurricane Dennis, which at the time was located off the North Carolina coast, swamped six small boats, mainly at Boca Raton and Hillsboro Inlets.  One person was washed overboard and drowned. The swells also caused mostly minor beach erosion along the Palm Beach and Broward county shorelines.</t>
  </si>
  <si>
    <t>COASTAL DADE (ZONE)</t>
  </si>
  <si>
    <t>Large and powerful hurricane Floyd, approached the southeast Florida coast on September 13 and moved north of the area by September 15.  Southeast Florida remained on the weak" side of Floyd with minimal effects</t>
  </si>
  <si>
    <t xml:space="preserve"> mostly to marine interests.  Total damage from Floyd in south Florida is estimated at $100 thousand</t>
  </si>
  <si>
    <t xml:space="preserve"> most of which was in Palm Beach county.  This figure does not include preparation costs which were estimated to have been near $3 million in Palm Beach County alone.  </t>
  </si>
  <si>
    <t>COASTAL BROWARD (ZONE)</t>
  </si>
  <si>
    <t>DE SOTO (ZONE)</t>
  </si>
  <si>
    <t>TBW</t>
  </si>
  <si>
    <t>OFFICIAL NWS OBS.</t>
  </si>
  <si>
    <t>The outer rainbands of hurricane Floyd moved parallel to the east coast of Florida and produced tropical storm force wind gusts primarily across interior counties within West Central Florida.  A maximum wind gust of 58 mph was reported at Lakeland Linder Airport around 1700 EST on the 14th._x000D_
_x000D_
Tropical storm force wind gusts uprooted a few large trees and downed power lines in and around Lakeland in Polk County.  One mobile home lost its roof from tropical storm force winds on Rock Ridge Road in Lakeland.</t>
  </si>
  <si>
    <t>LEE (ZONE)</t>
  </si>
  <si>
    <t>HIGHLANDS (ZONE)</t>
  </si>
  <si>
    <t>CHARLOTTE (ZONE)</t>
  </si>
  <si>
    <t>POLK (ZONE)</t>
  </si>
  <si>
    <t>HILLSBOROUGH (ZONE)</t>
  </si>
  <si>
    <t>SARASOTA (ZONE)</t>
  </si>
  <si>
    <t>MANATEE (ZONE)</t>
  </si>
  <si>
    <t>HARDEE (ZONE)</t>
  </si>
  <si>
    <t>ST. LUCIE (ZONE)</t>
  </si>
  <si>
    <t>MLB</t>
  </si>
  <si>
    <t>EMERGENCY MANAGER</t>
  </si>
  <si>
    <t>The center of Hurricane Floyd passed about 115 statute miles off the coast of east central Florida on September 15th. The areas hardest hit were coastal sections of Brevard and Volusia counties. Both counties experienced widespread wind gusts to near 70 mph.  Initial damage estimates in Volusia County were near $42 Million. About ten million of that was due to beach erosion. Three hundred thirty plus homes were damaged by wind or falling trees. Thousands of people were left without power. A large section of the Main Street Pier was destroyed by heavy surf in Daytona Beach. In Brevard County damage estimates were near $10 million. About $8 million of that was due to beach erosion. A few beach front homes received major damage from surf and wind. Many highrise hotels received water damage from wind driven rain. Thousands of trees and power lines were blown down across the county._x000D_
_x000D_
Beach erosion and downed trees and power lines and damage to some homes were also reported across coastal sections of  St. Lucie and Indian River counties.  Inland, downed trees and power lines and minor wind damage to structures was also reported in Orange and Seminole counties.</t>
  </si>
  <si>
    <t>SEMINOLE (ZONE)</t>
  </si>
  <si>
    <t>BREVARD (ZONE)</t>
  </si>
  <si>
    <t>INDIAN RIVER (ZONE)</t>
  </si>
  <si>
    <t>ORANGE (ZONE)</t>
  </si>
  <si>
    <t>VOLUSIA (ZONE)</t>
  </si>
  <si>
    <t>FLAGLER (ZONE)</t>
  </si>
  <si>
    <t>JAX</t>
  </si>
  <si>
    <t>Hurricane Floyd - Flagler Beach Pier was damaged. One mobile home damaged. Marineland received severe structural damage.</t>
  </si>
  <si>
    <t>ST. JOHNS (ZONE)</t>
  </si>
  <si>
    <t>Hurricane Floyd - Thirty homes damaged, ten hotels with roof damaged. Extensive beach erosion. Six to eight inches of rainfall caused major flooding in St. Augustine. Highest gust at SAUF1 67 mph at 700 AM EST.</t>
  </si>
  <si>
    <t>DUVAL (ZONE)</t>
  </si>
  <si>
    <t>Hurricane Floyd - Three  homes with major damage, five with minor damage by wind and falling trees. Max wind at JAX 46 mph at 407 AM EST. Extensive beach erosion. More than 100 feet of the Jacksonville Beach was destroyed.</t>
  </si>
  <si>
    <t>NASSAU (ZONE)</t>
  </si>
  <si>
    <t>Hurricane Floyd - More than 50 homes damaged... 20 with structural, 30 with minor. One business with roof damage. Extensive beach erosion. Storm surge deposited 3-4 feet of sand on CR-105 in Fernandina Beach.</t>
  </si>
  <si>
    <t>After lingering as a broad area of low pressure in the western Caribbean Sea for four days, a tropical depression formed just after midnight EDT on October 13 and became tropical storm Irene in the northwest Caribbean Sea later that morning.  Irene moved north across western Cuba on October 14 and strengthened to hurricane intensity early on October 15 in the Straits of Florida.  It then made its first landfall in south Florida in the lower Florida Keys around 9 AM EDT, October 15.  After crossing Florida Bay the center of Irene made landfall on the peninsula near Cape Sable around 4 PM EDT, October 15 as a Category One intensity hurricane.  It moved northeast across central Miami-Dade and Broward counties before exiting into the Atlantic just after midnight EDT on October 16 near Jupiter in northeast Palm Beach County._x000D_
_x000D_
Heavy rains and sustained winds of tropical storm force caused widespread flooding and power outages in the metropolitan areas of Miami-Dade, Broward and Palm Beach counties.  The effects were similar, although somewhat more widespread, than those experienced in tropical storm Gordon in November 1994 and were reminiscent of the wet hurricanes in the 1930s and 1940s._x000D_
_x000D_
Rainfall totals in southeast Florida ranged from 6 to 17 inches with many areas getting 10 to 15 inches.  The greatest reliable amount reported was 17.45 inches at Boynton Beach.  The highest sustained wind over land was 60 mph at Miami Beach with many readings from 40 to 55 mph.  Fowey Rocks Light reported sustained winds of 66 mph while the Miami NWS doppler radar estimated areas of sustained hurricane force winds in the Atlantic Ocean just off the southeast Florida coast.  Among the highest recorded gusts were readings of 93 mph near Belle Glade, 85 mph at Homestead Air Reserve Base, 84 mph at Fowey Rocks Light, 74 mph at Turkey Point nuclear power plant and 70 mph at Miami International Airport.  The lowest barometric pressure on the south Florida peninsula was 989.9 mb at Opa Locka Airport.  Storm surge and beach erosion were minimal._x000D_
_x000D_
Four tornadoes touched down in Broward and Palm Beach counties, injuring 3 persons.  Several other areas of localized wind damage were reported, especially near the southeast shore of Lake Okeechobee, and were likely attributable to convective downbursts._x000D_
_x000D_
There were no direct deaths from Irene, but eight persons died in the aftermath.  Five persons were electrocuted by downed power lines, including three persons from one family.  Three other persons drowned in vehicle-related accidents.  Damage in southeast Florida, mainly from flooding is estimated near $600 million which includes $335 million in agricultural losses.  An estimated 700,000 customers lost electricity.  Flooding in a few residential areas lasted for a week displacing several hundred persons and isolating thousands more._x000D_
_x000D_
Other long-term ecological repercussions may be experienced from the flooding rains such as the effects of high water on Everglade's hammocks, and the effects of excessive fresh-water runoff on estuaries.</t>
  </si>
  <si>
    <t>MONROE/LOWER KEYS (ZONE)</t>
  </si>
  <si>
    <t>EYW</t>
  </si>
  <si>
    <t>NWS STORM SURVEY</t>
  </si>
  <si>
    <t>MONROE/MIDDLE KEYS (ZONE)</t>
  </si>
  <si>
    <t>MONROE/UPPER KEYS (ZONE)</t>
  </si>
  <si>
    <t>The westernmost bands of Hurricane Irene produced occasional tropical storm force wind gusts across the interior counties of central Florida during the evening of October 15th and early morning of the 16th with no reported fatalities, injuries or damage._x000D_
_x000D_
Maximum wind gust observed was 42 mph from the northeast recorded at the automated surface observing site (ASOS) in Winter Haven of Polk County, Florida at 1533 EST on the 15th.  Maximum 24 hour rainfall was .31 inches recorded at Page Field in Ft Myers of Lee County, Florida ending at 0800 EST on the 16th.  Lowest sea-level pressure observed was 1000.0 mb at Regional Southwest Airport in Ft Myers of Lee County, Florida at 1917EST on the 15th.</t>
  </si>
  <si>
    <t>Minimal Hurricane Irene moved northeast from the Florida Keys across south Florida and emerged over the Atlantic near Ft. Pierce.  Even though the storm was classified a category one hurricane, no sustained hurricane force winds were observed in east central Florida.  Winds gusted from 60 to 70 mph over coastal locations from Ft. Pierce to Daytona Beach. _x000D_
_x000D_
In Martin and St. Lucie counties  the greatest impact from the storm was flooding. From 5 to 9 inches of rain fell over the area flooding 300 homes. About 50 homes had major wind damage and thousands of trees were blown down. _x000D_
_x000D_
In Volusia, Brevard and Indian River counties hundreds of homes received minor wind damage and about 50 residences were seriously damaged. The hardest hit areas were beach front communities.  Many houses and high rise hotels suffered roof damage and damage from wind driven rain.  A barge broke free during high winds and damaged the causeway bridge on US Highway 528 near Cape Canaveral. Substantial beach erosion was reported along the entire coast.  From 4 to 10 feet of beach front was lost in most areas with damage estimated in the millions of dollars in each county.</t>
  </si>
  <si>
    <t>MARTIN (ZONE)</t>
  </si>
  <si>
    <t>Hurricane Irene - Three single family homes and one multi-family structure received major damage. 167 single family homes, 6 multi-family and 18 mobile and 18 businesses with minor damage. Numerous reports of trees and power lines blown down. Minor flooding occurred in the northern portion of the county near Marineland. Minor beach erosion. A 74 mph wind gust was reported between 16/2000 and 16/2030 UTC  by the Flagler Vol. Fire Department.</t>
  </si>
  <si>
    <t>Hurricane Irene - Minor beach erosion and flooding. Numerous reports of tree and power lines blown down. Max wind gust - 77 mph, St. Augustine (SAUF1) at 170200 UTC.</t>
  </si>
  <si>
    <t>Hurricane Irene - Numerous reports of trees and power lines blown down. Max wind gust - 55 mph, Mayport Navy Base at 170200 UTC. Minor beach erosion.</t>
  </si>
  <si>
    <t>AWOS</t>
  </si>
  <si>
    <t>ASOS</t>
  </si>
  <si>
    <t>MESONET</t>
  </si>
  <si>
    <t>ETC</t>
  </si>
  <si>
    <t>Hurricane Gordon moved northeast across the eastern Gulf of Mexico and brought mainly 30 to 40 mph sustained winds and 50 to nearly 70 mph tropical storm force wind gusts to mainly coastal areas of Southwest and West Central Florida throughout the daylight hours of the 17th.  Gordon's ill-defined center made landfall near the Suwannee River around midnight of the 18th.  Official, maximum sustained winds of 53 mph, with gusts as high as 68 mph, were observed at the C-MAN automated weather sensor at Cedar Key in Levy county prior to landfall near the mouth of the Suwannee River during the late evening of the 17th._x000D_
_x000D_
Hurricane Gordon produced maximum storm tides above mean sea level of 2 to 4 feet from Lee north to Manatee county, 4 to 5.5 feet along the Pinellas and Hillsborough county coastlines, and 2 to 4 feet from Pasco north to Levy county on the 17th._x000D_
_x000D_
Coastal flooding from storm surge was minimal from Lee county north to the Tampa metropolitan area. Near downtown Tampa, a foot of water covered the south and northern lanes of Bayshore Boulevard during midday on the 17th.  Coastal flood waters between one and two feet covered coastal roads along Longboat Key in Manatee county and Siesta and Casey Keys in Sarasota county.  In Pinellas county, nearly a foot of water covered coastal roads from St. Pete Beach to Clearwater.  The Courtney Campbell Parkway, seperating Pinellas and Hillsborough counties, was closed, due to storm surge flooding, from nearly 5 to 9 pm on the 17th._x000D_
_x000D_
Beach erosion was minor from Lee north to Charlotte, moderate to severe along Sarasota and Manatee counties, minor to moderate over Manatee, Pinellas, Pasco and Hernando counties.  At Bradenton Beach in Manatee county, nearly 100 feet of pristine beach, five to six feet in depth, was stripped away by wave action from Hurricane Gordon.  In Sarasota county, storm surge and wave action from Gordon caused nearly 1.1 million dollars in beach erosion while in Manatee county, beach erosion was estimated at 500 thousand dollars._x000D_
_x000D_
Inland flooding from rainfall occurred over low-lying and urban areas in mainly Lee, Charlotte, Sarasota, Manatee, Hardee, DeSoto, Highlands and southern Polk counties (see flood entries)._x000D_
_x000D_
Eastern rain bands of Hurricane Gordon spawned at least five known tornadoes, two F1's and three F0's over Central and Southwest Florida (see tornado entries)._x000D_
_x000D_
Damage in Levy county was confined to roofs and toppled trees, mainly in the Cedar Key area, where a total of $100,000 dollars was estimated._x000D_
_x000D_
Damage in Citrus county was confined to a few downed trees, power lines and snapped branches from Sulphur Springs south to Ozello mounting to less than $25,000 dollars._x000D_
_x000D_
Damage in Hernando county was confined to ten homes that suffered floodwater damage along the coast along with a few toppled trees and downed power lines.  Damage in Hernando county was estimated at $100,000 dollars._x000D_
_x000D_
Damage in Pasco county was confined to 15 roof damaged villas, downed trees and damaged vehicles in the New Port Colony Villas subdivsion in New Port Richey estimated at $250,000 dollars._x000D_
_x000D_
In Pinellas county, 51 single-family homes, 32 mobile homes, 27 multi-family homes and 24 businesses sustained minor wind or water damage.  Estimated cost of the damage in Pinellas county was nearly $500,000 dollars._x000D_
_x000D_
In Hillsborough county, 40 homes in low lying coastal areas from Ruskin to Gibsonton to Riverview, incurred flooding from storm surge.  Also, several homes were damaged from wind toppled trees and large branches throughout Hillsborough county.  Estimated cost of the damage in Hillsborough county was near $500,000 dollars._x000D_
_x000D_
In Manatee county, 25 homes and businesses were flooded in Bradenton Beach and several homes incurred minor to moderate roof damage in Anna Maria.  At Coquina Beach in Manatee county, 60 mph wind gusts, associated with an outer feeder band of Gordon, toppled life guard towers and destroyed an anemometer. Property damage from Hurricane Gordon was estimated at nearly $500,000 dollars in Manatee county._x000D_
_x000D_
In Sarasota county, eight foot high waves, caused nearly $600,000 in property damage to the Venice Municipal Fishing Pier.  The hurricane induced waves ripped a 20 foot section and three 50 foot concrete pilings from the northern section of the pier._x000D_
_x000D_
In Lee county, tropical storm force winds caused roof, awning and lanai damage to nine homes, toppled several large trees and branches, and downed power lines across Cape Coral and Ft. Myers.  Also, tornadoes, associated with outer feeder bands of Hurricane Gordon, caused significant damage on Sanibel Island of extreme western Lee county (see Lee county tornado entries)._x000D_
_x000D_
Max Wind Gust:		68 mph - Cedar Key, Levy Co.		2153 EST		09/17_x000D_
Lowest Pressure:		994.2 mb - Cedar Key, Levy Co.		2200 EST		09/17_x000D_
Max Rainfall:		6.39 in - Page Field, Ft. Myers, Lee Co.	0000-2400 EST	09/17</t>
  </si>
  <si>
    <t>PINELLAS (ZONE)</t>
  </si>
  <si>
    <t>PASCO (ZONE)</t>
  </si>
  <si>
    <t>LEVY (ZONE)</t>
  </si>
  <si>
    <t>HERNANDO (ZONE)</t>
  </si>
  <si>
    <t>CITRUS (ZONE)</t>
  </si>
  <si>
    <t>DIXIE (ZONE)</t>
  </si>
  <si>
    <t>TAE</t>
  </si>
  <si>
    <t>FRANKLIN (ZONE)</t>
  </si>
  <si>
    <t>Hurricane Gordon, a minimal Category 1 storm, weakened to a tropical storm just prior to landfall near Cedar Key, Florida during the late evening hours of Sunday, September, 17, 2000.  Heavy rainfall associated with Gordon's outer bands began to affect mainly eastern portions of the Florida Big Bend as early as Sunday morning.  Storm total rainfall varied from 0.71 inches at Tallahassee to 4.83 inches at Cross City, Florida.  The highest sustained wind recorded was 33 mph with a peak gust of 42 mph at Cross City.  The lowest sea-level pressure recorded was 997 mb at Cross City.  There were no reports of beach erosion, flooding or tornadoes.</t>
  </si>
  <si>
    <t>GADSDEN (ZONE)</t>
  </si>
  <si>
    <t>JEFFERSON (ZONE)</t>
  </si>
  <si>
    <t>LAFAYETTE (ZONE)</t>
  </si>
  <si>
    <t>LEON (ZONE)</t>
  </si>
  <si>
    <t>LIBERTY (ZONE)</t>
  </si>
  <si>
    <t>MADISON (ZONE)</t>
  </si>
  <si>
    <t>TAYLOR (ZONE)</t>
  </si>
  <si>
    <t>WAKULLA (ZONE)</t>
  </si>
  <si>
    <t>COASTAL OBSERVING STATION</t>
  </si>
  <si>
    <t>Hurricane Michelle passed about 60 miles south of the Florida Keys on the 4th and 5th.  Only minimal damage occurred in the Keys.  The listings are for sustained and maximum wind gusts observed over coastal observing stations.  The 3 events listed are the only observations of sustained winds greater than 33 knots._x000D_
_x000D_
Location			maximum sustained (direction)	maximum gust (direction)	time_x000D_
Sombrero Key C-MAN station:       43 knots (060)                                 50 knots (060)                  0300 EST (5th)_x000D_
(Middle Keys)_x000D_
Sand Key C-MAN station	42 knots (050)                                    47 knots (050)                   0000 EST (5th)_x000D_
(Lower Keys)_x000D_
Molasses Reef C-MAN station:	39 knots (060)			 49 knots (060)		         1900 EST (4th)           _x000D_
(Upper Keys)</t>
  </si>
  <si>
    <t>Hurricane Michelle after forming into a depression in the southwest Caribbean Sea on October 29 drifted north and became a tropical storm on October 31 and a hurricane on November 2.    It turned northeast and made landfall along the south shore of Cuba as a category 4 hurricane on the Saffir-Simpson Hurricane Scale.  Michelle weakened as it moved across Cuba and into the central Bahamas.  The center reached its closest approach to southeast Florida, about 170 miles southeast of Miami, around 4 am November 5.  Tropical storm warnings were issued for southeast Florida at 10 pm, November 3.  The minimum pressure and maximum winds along the southeast Florida coast occurred at Miami Beach with a barometer reading of 1001.2 mb and sustained winds of 37 knots with gusts of 44 knots.  Fowey Rocks Light, just south of Key Biscayne, reported a peak gust of 53 knots.  Storm surge was estimated to be 1-2 feet while rainfall amounts of 1 to 2 inches were widespread across the southeast Florida  mainland.  Two brief tornadoes were spawned by Michelle causing minor damage.</t>
  </si>
  <si>
    <t>Hurricane Charley moved north from western Cuba, passing directly over Dry Tortugas National Park around 0700 EST on August 13, 2004.  During the evening of August 12, a strong convective band moved north through the Florida Straits, the Keys east of the Seven Mile Bridge, and into Florida Bay.  Peak wind gusts to 56 knots (64 mph) were recorded at Sombrero Key Light, 53 knots (61 mph) at Long Key and 47 knots (54 mph) at Molasses Reef C-MAN stations during this convective band, along with reported wind gust to 45 knots (52 mph) from a spotter on Duck Key.  Damage along the island chain from Marathon through Ocean Reef was limited to downed tree limbs, power lines and unreinforced signs, and almost entirely from the convective band.  Beginning around 0330 EST, strong gradient winds began in the Lower Keys and Dry Tortugas.  Peak wind gusts of 54 knots (62 mph) were recorded at Sand Key C-MAN station, with gusts to 50 knots (58 mph) at Key West International Airport.  Peak wind measurements of 40 to 45 knots (46 to 52 mph) were measured along the island chain from Boca Chica Key through Summerland Key.  Wind damage including a few uprooted and snapped trees, large tree limbs, power lines, fences and unreinforced signs.  A sailboat broke loose from moorings around 0730 EST on August 13, striking a phase of a 115 kilovolt transmission line serving the lower Keys, causing a widespread power outage west of Marathon through Key West._x000D_
_x000D_
Maximum storm surge was estimated to near 6 feet at Dry Tortugas/Garden Key by National Park Service personnel, who rode out the hurricane at the fort.  Wave action produced extensive flooding of the park grounds outside of the Fort Jefferson walls.  Approximately 1000 feet of brickwork was lost on the outer moat wall, which was completely submerged at the time of high tide.  Numerous finger docks and the deck of the main dock were destroyed.  Scaffolding used during the Fort's multi-year renovation project was also damaged and found floating in the moat.  The Dry Tortugas C-MAN station, which included instrumentation less than 15 feet above mean sea level, was also destroyed, likely from the combination of wave action and elevated tide levels.  Maximum storm surge was estimated at one foot above normal at Key West. Wave action produced minor coastal flooding along the oceanfront.  _x000D_
_x000D_
An estimated 11,000 visitors evacuated the Keys, causing an estimated tourism loss of 5.3 million dollars.</t>
  </si>
  <si>
    <t>COASTAL COLLIER (ZONE)</t>
  </si>
  <si>
    <t>On August 12, Hurricane Charley, after moving through the northwest Caribbean Sea, turned north and accelerated cross the western end of Cuba, and just west of the lower Florida Keys.  Early on August 13, the hurricane intensified to Category 4 status and turned to a north northeast direction before making landfall near Port Charlotte around 3 PM EDT. The first outer rainband, with wind gusts estimated up to 60 mph,  impacted the south Florida Peninsula between midnight and 2 AM EDT _x000D_
_x000D_
In Collier County, a peak wind gust of 84 mph was measured at 2:50 PM EDT on the top of a condominium at Vanderbilt Beach before the equipment failed.  The Naples ASOS equipment failed well before the maximum winds or minimum pressure occurred.  Wind gusts at La Belle were estimated at 80 mph._x000D_
_x000D_
Rainfall in most locations in Collier County was around two inches with an unofficial amount of 7.5 inches reported in North Naples.  Radar rainfall estimates of locally 8 to 10 inches were made in North Naples. Flooding was mostly minimal. _x000D_
_x000D_
The highest Storm Tide along the southwest Florida Coast was estimated at three feet near Wiggins Pass with heights of one to two feet from Naples to Marco Island to Everglades City. Tidal flooding was minimal. Lake Okeechobee levels increased up to three feet above normal along the north and northeast shores._x000D_
_x000D_
A long-track tornado moved through the open country of the Everglades in eastern Hendry County before doing minor damage to buildings in Clewiston._x000D_
_x000D_
Hurricane wind damage was greatest in North Naples and Vanderbilt Beach with numerous power poles, trees and signs blown down, and a few roofs damaged.  Damage also occurred to screened porches throughout the Naples-Marco Island metropolitan areas.  Damage occurred to Gulf-side structures along most of the coastline but beach erosion was mostly minor.  Four persons in Naples suffered minor injuries when their vehicle was touched by a downed power line during the storm.  Three persons in Collier County died from indirect causes after the hurricane. An estimated 130,000 customers in Collier County lost power.  About 2,500 people took refuge in six shelters._x000D_
_x000D_
Damage in Hendry and Glades counties consisted mainly of downed trees, power lines and signs, with minor roof damage to several homes.  An estimated 1000 customers lost electricity in Glades County.</t>
  </si>
  <si>
    <t>HENDRY (ZONE)</t>
  </si>
  <si>
    <t>GLADES (ZONE)</t>
  </si>
  <si>
    <t>Hurricane Charley came ashore late Friday afternoon along the southwest Florida coast just northwest of Ft Myers, FL.  Maximum sustained and peak winds were well below tropical storm strength over the northeast Gulf of Mexico.  The lowest sea level pressure was 1011 mb at Cross City, FL.  Rainfall totals over the Florida Big Bend ranged from less than a quarter inch to 1.25 inches at Cross City, FL.</t>
  </si>
  <si>
    <t>The collective effects of Hurricane Charley in southwest and west central Florida during August 13th resulted in 8 direct fatalities, 16 indirect fatalities, 792 injuries, eight tornadoes, an eight foot storm surge in Lee County, an estimated $11.2 billion in property damage (estimated to be about twice that of the insured damage), and $460 million in crop damage.  The fast movement of Hurricane Charley limited rain fall totals to 4 to 6 inches along the track of the hurricane's eye wall. River flooding of one to three feet above flood stage was found on area rivers south of Interstate 4.  _x000D_
_x000D_
Hurricane Charley, a powerful but compact Category 4 hurricane on the Saffir-Simpson Hurricane Scale, roared into Southwest Florida during the late afternoon of August 13th, then raced northeast through the central Florida peninsula, reaching the Atlantic Coast as a Category 1 hurricane near Daytona Beach in only seven hours.  In all, 1.42 million people evacuated their homes in southwest and west central Florida because the forecasted path was parallel to the coast and Charley could have made land fall anywhere from Tampa to Fort Myers. _x000D_
_x000D_
Hurricane Charley made landfall just north of Captiva with sustained winds estimated at 145 mph.  The winds damaged or destroyed thousands of homes, knocked down tens of thousands of trees, and took out power to more than 2 million Floridians.  The most intense damage occurred in a band approximately 10 miles wide centered on the path of the eyewall.  Additional damage was seen in a band approximately 35 miles wide centered on the path of the eyewall.  Rainfall was limited to 3 to 5 inches in a 20 mile radius surrounding the center, and the areal extent of storm surge was limited by the lack of buildup of high seas as the storm raced northward. _x000D_
_x000D_
The center of Charley crossed the barrier islands of Cayo Costa and Gasparilla Island at 345 PM EDT, then moved up Charlotte Harbor before making landfall at Mangrove Point, just southwest of Punta Gorda, at 435 PM EDT.  By 530 PM EDT, the center was 5 miles west of Arcadia (Desoto County); at 630 PM EDT, 1 mile west of Wauchula (Hardee County), and at 730 PM EDT, 4 miles west of Lake Wales (Polk County). At approximately 830 PM EDT, Charley had exited West Central Florida, and in 45 minutes slammed into Orlando International Airport._x000D_
_x000D_
Charlotte County took the brunt of the destruction caused by Hurricane Charley.  The airport in Punta Gorda recorded sustained winds of 87 mph with gusts to 112 mph before the wind equipment blew apart.  Most of the buildings and airplanes at the airport were destroyed.  An unofficial wind gust of 173 mph was reported from a tower on the Charlotte Regional Medial Center in Punta Gorda.  Saint Joseph's Hospital in Port Charlotte lost its roof.  No storm surge was reported but Charlotte Harbor reported a four foot drop in the water level.  There were four direct fatalities that were a result of blunt force trauma from flying debris.  The estimated 700 injuries were a result of additional trauma caused to the 450 patients that were evacuated from damaged hospitals.  An estimated 250 people were treated by three different remote medical teams dispatched throughout the county. _x000D_
_x000D_
In Lee County, Hurricane Charley caused an estimated eight foot storm surge that cut a new pass 300 yards wide across North Captiva Island.  The storm surge was estimated at 4 to 6 feet at Fort Myers Beach, Horseshoe Key, and Port Boca Grand.  Two direct and two indirect deaths were blamed on this hurricane. Sustained winds of 61 mph with gusts to 78 mph were recorded at the Fort Myers Regional Southwest airport. A personal weather station in Fort Myers recorded a wind gust of 95 mph.  The winds damaged or destroyed 41% of the homes in Cape Coral, ripped the roof off of the post office in Fort Myers, and lead to 1.9 millions cubic yards of debris in Lee County. There was one direct death attributed to the storm when a tree fell on a person outside smoking. There were three indirect fatalities due to carbon monoxide poisoning from a generator, a candle burned down a mobile home, and one heart attack. _x000D_
_x000D_
In DeSoto County the storm shelter at the Civic Center in Arcadia lost one wall and the roof pealed back while 1,200 evacuees were inside.  A wind gust of 104 mph was recorded in Arcadia where the storm  downed a water tower.  The majority of Arcadia's downtown was heavily damaged or destroyed and a mobile home park along State Road 72 was flattened. There was one direct fatality in a tool shed that was destroyed by the wind. _x000D_
_x000D_
In Sarasota there was one direct fatality a wind gust blew a car off the road and it hit a tree. Downed trees  knocked out power and damaged homes in the eastern part of the county. _x000D_
_x000D_
In Manatee County an unofficial report of 100 mph was reported in the southeast tip of the county.  Downed trees and power lines in the eastern part of the county forced officials to close the Myakka City Elementary School through August 20th. _x000D_
_x000D_
The damage total listed was estimated by doubling the insured losses.  The doubling accounted for uninsured losses and damage to the public infrastructure.</t>
  </si>
  <si>
    <t>Hurricane Charley was still producing hurricane wind gusts as it crossed Volusia County from the southwest. Daytona Beach reported a wind gust to 72 knots (83 mph) and Ormond Beach reported wind gusts of 76 knots (88 mph).  Like the counties to the south, Volusia County experienced widespread power outages, thousands of trees down, and damage to roofs, mobile homes, porches, awnings and car ports.  The Ormond Beach area was hit especially hard with east winds off the Atlantic as the hurricane center moved off the coast just to the south near Daytona Beach. Hundreds of trees were blown down and roofs were severely damaged on three beachfront hotels. Because the duration of the onshore wind was so brief, there was negligible storm surge. Minor roadway flooding occurred from the two to four inches of rain that fell.  A strong F1 touched down in South Daytona Beach with the primary rainband ahead of the hurricane. This tornado destroyed a home and severly damaged three others, mainly from fallen trees.  The roof was blown off a strip mall store and a fire was started at a service station when the tornado destroyed the gas pumps and blew down the service island canopy.  A smaller F0 tornado also came ashore on the barrier island injuring an elderly woman and damaging the roof of her house.  Two fatalities were attributed to Hurricane Charley. A man was killed during the cleanup when he was crushed by a large tree limb. A woman was killed when she walked into a submerged power line. Total estimated damage in the county was $52 million.</t>
  </si>
  <si>
    <t>TRAINED SPOTTER</t>
  </si>
  <si>
    <t>22:00 EST:  60 mph 5 mi south of Bunnell. _x000D_
22:07 EST:  60 mph sustained in Korona. _x000D_
22:23 EST:  Transformers down in Bunnell. _x000D_
22:26 EST:  65 mph wind gust in Flagler Beach. _x000D_
22:30 EST:  55-65 mph destroyed a sun room in Palm Coast. _x000D_
22:31 EST:  60 mph NW of Bunnell. _x000D_
22:36 EST:  67 mph gust Flagler Beach. _x000D_
22:37 EST:  77 mph gust Flagler Beach. _x000D_
22:20-22:40 EST:  Numerous trained spotter reports of 50 kt wind gusting to 60 kts countywide. Measured wind of 60G67KT and dime size hail reported in Palm Coast. _x000D_
22:41 EST:  Tree through roof of home Palm Coast. _x000D_
22:42 EST:  70 mph sustained Palm Coast. _x000D_
22:49 EST:  68 mph gust Flagler Beach. _x000D_
22:51 EST:  Trees down Countywide. _x000D_
22:53 EST:  Report of large porch roof blown off Flagler Beach. _x000D_
23:00 EST:  80% of county without power.</t>
  </si>
  <si>
    <t>As Hurricane Frances tracked from the northwest Bahamas through the central Florida peninsula, several outer rain bands crossed the Florida Keys producing short episodes of strong wind gusts.  A peak wind gust of 81 knots (93 mph) was measured at the Sombrero Key Light C-MAN station, at an elevation of over 150 feet above mean sea level.  Other notable wind gusts included 55 knots (63 mph) at Sand Key C-MAN and 59 knots (68 mph) at Molasses Reef C-MAN.  Over land, peak wind gusts included 47 knots (54 mph) at the U.S. Coast Guard Group Key West, and 44 knots (51 mph) at the Key West Harbor.  Stronger wind gusts were estimated along the south side of Marathon...near Flamingo Island...in the squall that produced the extreme winds at Sombrero Key Light.  These winds tore screens in porches in isolated fashion from Big Pine Key through Grassy Key, and blew out plastic or vinyl panels of commercial signs in Marathon.  Otherwise, damage was limited to downed tree limbs and minor power outages.  _x000D_
_x000D_
As Frances passed to the north, strong northwest and west winds drove waters higher than normal along the Florida Bay shoreline...up to 1.0 foot above normal at Vaca Key, and estimated to near 2.5 feet above normal along the bayside of North Key Largo and Jewfish Creek.  These tides produced minor flooding of sidestreets and a parking lot near Mile Marker 106 of the Overseas Highway.</t>
  </si>
  <si>
    <t>Hurricane Frances formed from a tropical depression in the deep tropical Atlantic on August 25 about 1400 miles east of the Lesser Antilles and reached hurricane strength on August 26.  Frances became a Category 4 Hurricane on August 28 while about 700 miles east of the Lesser Antilles. Frances then moved generally west northwest and weakened to a Category 2 hurricane while crossing the northwest Bahamas.  After stalling for about 12 hours on September 4 in the Florida Straits between Grand Bahama Island and the southeast Florida coast, the center of the nearly 70-mile diameter eye crossed the Florida coast near Sewalls Point, at 1 A.M. EDT, September 5, 2004 with the southern eyewall affecting the extreme northeast portion of Palm Beach County.  Frances moved farther inland just north of Lake Okeechobee and weakened to a tropical storm before crossing the entire Florida Peninsula and exiting into the Gulf of Mexico just north of Tampa late on September 5.  It made a second landfall as a tropical storm in the eastern Florida Panhandle._x000D_
_x000D_
Sustained tropical storm-force winds likely occurred in all six south Florida counties.  Although no sustained hurricane-force winds were officially observed in any of the six south Florida counties, an NWS instrument on the eastern shore of Lake Okeechobee at Port Mayaca, just across the Palm Beach County border, measured a sustained wind of 85 mph.  At West Palm Beach International Airport the highest sustained wind was 64 mph with a peak gust of 82 mph and the lowest observed barometric pressure was 972 mb.  A South Florida Water Management District instrument measured a peak wind gust of 92 mph over the eastern portion of Lake Okeechobee.  The estimated peak wind gust in the Palm Beach metro area was 91 mph at Jupiter Inlet with a peak wind gust of 87 mph measured by a C-MAN station at Lake Worth Pier.  In Glades County near the western shore of Lake Okeechobee the highest measured sustained wind was 60 mph with a peak gust of 90 mph.  In Clewiston, a sustained wind of 60 mph with a gust of 80 mph was estimated.  The highest measured sustained wind at Fort Lauderdale-Hollywood International Airport was 41 mph with a peak gust of 55 mph.  In Miami-Dade County a maximum sustained wind of 62 mph with a peak gust of 78 mph was measured at the C-MAN station at Fowey Rocks Light with sustained winds of 42 mph and a peak gust of 59 mph at Miami International Airport.  At the Naples Municipal Airport the ASOS measured a maximum sustained wind of 38 mph with a peak gust of 54 mph._x000D_
_x000D_
A maximum storm-total rainfall amount of 13.56 inches was measured at West Palm Beach International Airport with 10.36 inches of that occurring in a 24-hour period.  Unofficial storm-total rainfalls included 9.56 inches at Boynton Beach, 8 inches at Deerfield Beach and 7.18 inches at Hillsboro Canal.  Widespread storm-total amounts of 3 to 5 inches occurred in southeast and interior south Florida with southwest Florida averaging 1 to 3 inches.  Rainfall flooding was mostly minor except for a few locations in Palm Beach County which had up to 3 feet of standing water.  A section of I-95 in Palm Beach County was closed due to a large sinkhole._x000D_
_x000D_
The maximum storm surge was estimated to have ranged from 2 to 4 feet along the northeast Palm Beach Coast to 1 to 2 feet along the northeast Broward Coast.  Within the confines of the Herbert Hoover Dike, water levels on Lake Okeechobee fluctuated up to 5 feet above and below normal. Coastal beach erosion was moderate in Palm Beach and portions of Broward counties and was minor in Miami-Dade and Collier counties._x000D_
_x000D_
There were no confirmed tornadoes._x000D_
_x000D_
There were no known direct deaths, but at least 9 people died in the aftermath.  Six of these deaths occurred in Palm Beach County, mainly as the result of vehicle-related accidents or from drownings.  Two vehicle-related deaths were reported in Broward County and one person died in Collier County while clearing debris.  An unknown number of injuries occurred._x000D_
_x000D_
Property damage at the coast occurred mainly to marinas, piers, seawalls, bridges and docks, as well as to boats.  Inland structure damage included 15,000 houses and 2,400 businesses in Palm Beach County.  Wind damage to house roofs, mobile homes, trees, power lines, signs, screened enclosures and outbuildings occurred over much of southeast Florida including areas near Lake Okeechobee, but was greatest in Palm Beach County._x000D_
_x000D_
A preliminary damage estimate for Frances in south Florida is $620 million, including $500 million in Palm Beach, $80 million in Broward, and $34 million in Miami-Dade.  Crop damage in Palm Beach County was estimated at an additional $70 million to sugar cane and vegetables and additional heavy losses occurred to nurseries._x000D_
_x000D_
Florida Power and Light reported power outages occurred to 659,000 customer in Palm Beach, 590,000 in Broward, 423,000 in Miami-Dade, 39,200 in Collier, 2,500 in Hendry and 1,700 in Collier.  An estimated 17,000 persons sought refuge in public shelters in Palm Beach County and nearly 7,000 in Broward County.</t>
  </si>
  <si>
    <t>INLAND COLLIER (ZONE)</t>
  </si>
  <si>
    <t>INLAND PALM BEACH (ZONE)</t>
  </si>
  <si>
    <t>The center of category 2 Hurricane Frances reached the Florida east coast near Sewall's Point in Martin County early on September 5th.  Frances was moving to the west northwest at 7 mph and maintained hurricane strength as it crossed the east half of the Florida Peninsula. Frances was downgraded to a tropical storm in the afternoon on the 5th when it was about 50 miles east of Tampa Bay.  _x000D_
_x000D_
In Martin, St. Lucie and Indian River counties, the slow moving storm produced wind gusts to hurricane strength for about 19 hours, producing an estimated 4.5 billion dollars in damage. Wind gusts well over 100 mph destroyed coastal structures, marinas, and vessels.  Farther inland, hundreds of homes, mobile homes, and businesses were destroyed, and thousands were damaged.  Highest recorded winds for Martin county were 91 knots (105 mph) at Port St. Lucie Inlet. The highest wind gust in St. Lucie County, was 94 knots (108 mph) at Ft. Pierce and in Indian River County, 70 knots ( 81 mph) in Vero Beach. _x000D_
_x000D_
Brevard and Volusia counties also recorded hours of hurricane force wind gusts from the north side of the storm. Thousands of homes and businesses were destroyed and damaged, with hundreds of thousands of residences with out power. Brevard was hit with an estimated damage of 90 million dollars. Damage in Volusia County was close to 240 million dollars. Most official NWS surface wind equipment failed prior to the max wind of the storm when power was knocked out.  Highest recorded surface winds gust was 78 knots (90 mph) from Merritt Island Airport, although a wind tower at NASA report gusts to 82 knots (94 mph).  These winds were likely representative of what most of the beach front areas were hit with. Daytona Beach International Airport recorded a wind gust to 65 knots (75 mph) prior to the power outage.  _x000D_
_x000D_
Lowest recorded pressures for Hurricane Frances were, 994.9 mb at Daytona Beach Airport, 995.9 mb at NWS Melbourne, 962.1 at St. Lucie Lock, and 964.7 at Port Mayaca Lock.  _x000D_
_x000D_
Beach errosion was moderate to severe from Cocoa Beach to Ft. Pierce, ranging from 5 to 6 feet from south Brevard County to up to 12 feet near Vero Beach where a large section of a beach road was washed out.  A storm surge of 5.89 feet MSL was recorded at the St. Lucie Lock. A surge near 6 feet occured near Cocoa Beach ranging to near 8 feet around Vero Beach where onshore winds were the strongest. _x000D_
_x000D_
Radar estimates show as much as 13 inches of rain fell in Volusia County with a range of 6 to 10 inches of rain in the remaining counties. The worst flooding from Hurricane Frances was in Volusia, Seminole, Orange and Osceola counties.  Significant inland flooding was reported in Martin, St. Lucie, Indian River and Brevard counties.</t>
  </si>
  <si>
    <t>Hurricane Ivan tracked through the central Gulf of Mexico after crossing the extreme western tip of Cuba.  A few outer rain bands affected the Lower Keys on September 14, producing wind gusts to 46 knots (53 mph) at Key West International Airport, and to 42 knots (48 mph) at the Sand Key C-MAN station.  Storm tides were estimated at 1 foot above normal...which in concert with higher-than-usual astronomical tides produced water levels up to 2 feet above normal.  These values were similar to what was achieved during Hurricane Charley.  Wind damage was limited to downed tree limbs in the Keys between the Seven Mile Bridge and Key West.  With two previous tropical cyclone events, the measured winds were not enough to produce additional significant tree damage.  _x000D_
_x000D_
Most significant was the mandatory evacuation order of all Keys residents and visitors beginning on September 9.  Newspapers reported up to 50 percent of all Monroe County residents evacuated the islands.  The prolongued labor shortages and discontinuation of delivered goods from September 9 through September 12 caused widespread fuel and food shortages at commercial establishments.</t>
  </si>
  <si>
    <t>INLAND ESCAMBIA (ZONE)</t>
  </si>
  <si>
    <t>CST</t>
  </si>
  <si>
    <t>MOB</t>
  </si>
  <si>
    <t>See the narrative on Hurricane Ivan under Alabama, Southwest, September 13-16 ,2004.  Ivan will be remembered as one of the most damaging hurricanes to affect  the extreme western Florida panhandle in modern history.  The $4 billion in property damage is an estimate, but the final figure could be as low as $2.5 billion or as high as $7 billion.</t>
  </si>
  <si>
    <t>COASTAL SANTA ROSA (ZONE)</t>
  </si>
  <si>
    <t>COASTAL OKALOOSA (ZONE)</t>
  </si>
  <si>
    <t>COASTAL ESCAMBIA (ZONE)</t>
  </si>
  <si>
    <t>INLAND SANTA ROSA (ZONE)</t>
  </si>
  <si>
    <t>INLAND OKALOOSA (ZONE)</t>
  </si>
  <si>
    <t>BAY (ZONE)</t>
  </si>
  <si>
    <t>Hurricane Ivan made landfall near Gulf Shores, AL, during the predawn hours of September 16.  Maximum sustained winds reached 50 knots, with gusts to 62 knots at Buoy 42039, 80 miles south of Panama City, FL.  The lowest sea-level pressure was 999.6 mb at Panama City.  Rainfall totals ranged from 9.26 inches at Mossy Head, FL, to 0.15 inches at Cross City, FL.  Storm tides along the Gulf coast varied from ten feet in Bay and Walton counties to four feet in Taylor and Dixie counties.  Large swells from Ivan began to the affect the Gulf coast from the St. Joseph Peninsula to the Suwannee River on September 14.  Storm surges continued for several hours after landfall.  Beach erosion varied from extreme (20 to 40 feet) in Walton County to minor at St. George Island.  Minor areal flooding affected much of the Florida Panhandle, including Walton, Bay, Holmes, Calhoun, Jackson and Gulf counties.  Sharp rises to near or slightly above minor flood levels occurred on the Choctawhatchee River at Caryville, the Apalachicola River at Blountstown, and the Shoal River at Mossy Head.  An estimated 165,000 customers were without power.  There were widespread reports of downed trees and power lines.  The hardest hit areas were Gulf, Bay, and Walton counties, where more than 50 percent of homes and businesses were damaged or destroyed.  Numerous roads in the Panhandle coastal counties were flooded or washed out.  Intense outer rain bands from Ivan spawned numerous tornadoes over portions of the Florida Panhandle and Big Bend.  The hardest hit counties were Bay, Calhoun, and Jackson counties, which accounted for six deaths and 16 injuries.  Mandatory evacuations of low lying, coastal, and mobile home residents was ordered by officials in Bay, Walton, Jackson, Holmes, Jackson, Franklin, and Taylor counties.  A state of emergency and presidential request for federal assistance were declared for the affected counties.</t>
  </si>
  <si>
    <t>INLAND WALTON (ZONE)</t>
  </si>
  <si>
    <t>HOLMES (ZONE)</t>
  </si>
  <si>
    <t>GULF (ZONE)</t>
  </si>
  <si>
    <t>WASHINGTON (ZONE)</t>
  </si>
  <si>
    <t>JACKSON (ZONE)</t>
  </si>
  <si>
    <t>CALHOUN (ZONE)</t>
  </si>
  <si>
    <t>COASTAL WALTON (ZONE)</t>
  </si>
  <si>
    <t>Hurricane Jeanne passed from the northwest Bahamas through the central Florida peninsula.  Unlike with Hurricane Frances, Jeanne did not spread widespread convective bands through the island chain.  Rainfall was limited to the outer edge of the stratiform rain shield...which clipped the Upper Keys and Florida Bay.  Peak wind gusts included 44 knots (51 mph) at Sombrero Key Light C-MAN station, and 43 knots (49 mph) at Molasses Reef C-MAN station.  Storm tides were once again measured at 1.0 feet above normal at Vaca Key, and estimated at 2.5 feet above normal in far eastern Florida Bay near North Key Largo and Jewfish Creek.  Tidal flooding inundated a parking lot at the Jewfish Creek bridge, similar to what was experience with Hurricane Frances.  Spring tides in combination with the elevated Florida Bay waters caused some shallow tidal flooding of airport grounds at Key West International Airport, as the interior tidal salt ponds rose. Westerly winds prevented wave action from overwashing low-lying coastal roads, however._x000D_
_x000D_
A voluntary evacuation of mobile homes and special needs residents was recommended by Monroe County Emergency Management, with two shelters opened.</t>
  </si>
  <si>
    <t>The center of category 3 Hurricane Jeanne reached the Florida east coast near Sewall's Point in Martin County shortly after midnight on September 26th.  Remarkably, this is in the same location where Hurricane Frances came ashore on September 5th. Jeanne was moving to the west northwest at 12 mph and maintained hurricane strength as it crossed most of the Florida Peninsula. Jeanne was downgraded to a tropical storm in the afternoon of September 26th when it was about 40 miles northeast of Tampa Bay. _x000D_
_x000D_
In Volusia County, hurricane force wind gusts began with the rain bands on the north side of Jeanne as they moved on shore. The county, already battered by Hurricane Frances suffered extensive additional damage. Fresh water flooding from local heavy rain, and Flooding of the St. Johns River affected more than 200 residences and business properties. Total damage estimates were near $60 million.  Hurricane winds damaged or destroyed thousands of  homes and businesses. Hundreds of thousands of residences were with out power.  Most official NWS surface wind equipment failed prior to the max wind of the storm when power was knocked out. The highest recorded wind was only 55 knots (63 mph), but wind damage suggest numerous gusts in excess of hurricane strength.  The lowest recorded pressure was 993.6 mb.     _x000D_
_x000D_
In Brevard County, the strongest winds swept across the coast south of Cape Canaveral and the southern coastal communities. Grant, Micco and the south part of Palm Bay were hit much harder than the northern locations. County wide damages were reported at $320 million. Especially hard hit was the mobile home community of Barefoot Bay. A Palm Bay man drowned when his pickup truck ran off a road into a deep flooded ditch. Highest wind gusts in the county were, 79 knots (91 mph) at the NWS Melbourne office. Based on radar information, it is estimated that wind gusts over 100 kts (115 mph) swept across the southern coastal areas. The lowest recorded pressure for the storm was 986.8 mb at Melbourne. Total damage estimates for the county were near $320 million. _x000D_
_x000D_
Indian River County was hit hard by Jeanne being to the right of the land falling eye. 8,300 residences were damaged or destroyed and over 41,000 residences were damaged. Total wind damage for the county was over $2 billion. Highest wind gusts in the county were, 106 knots (122 mph) at Vero Beach and 101 knots (116 mph) at Sebastian.  The lowest recorded pressure for the county was 965.5 mb at Vero Beach. _x000D_
_x000D_
The north part of the hurricane eye passed over St. Lucie County producing $1.2 billion in wind damage. The marinas along Ft. Pierce inlet were hit destroying dozens of boats.  A 34 year old man was electrocuted when his truck ran into a power line.  Thousands of homes and business were damaged and destroyed by the wind. Especially hard hit were the dozens of mobile home communities. Highest wind gusts in the county were, 111 knots (128 mph) from a private residence just north of Ft. Pierce inlet. The lowest recorded pressure for the county was 952.9 mb at Ft. Pierce. _x000D_
_x000D_
The eye of Hurricane Jeanne passed over the community of Sewell' Point in Martin County. Over 180 residences were destroyed with about 4000 residences either damaged or destroyed.  The highest wind speed recorded was 91 kts (105 mph) in Jensen Beach.  No pressure data was recorded for Martin County. Severe beach erosion occurred compounding the damage from Hurricane Frances just 3 weeks earlier.</t>
  </si>
  <si>
    <t>Hurricane Jeanne formed from a tropical depression just east of the Leeward Islands on September 13. She moved across Puerto Rico and Hispaniola then turned north into the Atlantic and became a hurricane on September 20.  Jeanne made a clockwise loop for three days in the Atlantic north of Hispaniola before moving west northwest. It strengthened to a Category 3 Hurricane while over the northwest Bahamas and then make landfall around 11 P.M., September 25 near the south end of Hutchinson Island, nearly coincident with the landfall point of Hurricane Frances nearly three week before.  The 40-mile diameter eye was not quite as large as Frances, but the southern eyewall again affected northeast Palm Beach County.  After landfall Jeanne initially moved along a track similar to Frances, just north of Lake Okeechobee as it weakened to a tropical storm then it turned to the northwest and moved over the northwest Florida Peninsula._x000D_
_x000D_
Although slightly smaller and stronger then Hurricane Frances, winds and pressures  over southeast Florida were remarkably similar to Frances.  Unfortunately, the ASOS at West Palm Beach International Airport quit sending data during the height of the hurricane. Sustained tropical storm-force winds likely occurred over most of Palm Beach and northeast Glades counties and portions of Broward, Hendry and Collier counties.  Although no sustained hurricane-force winds were officially observed in any of the six south Florida counties, portions of northern Palm Beach County mostly likely experienced them.  A South Florida Water Management District (SFWMD) instrument in the Martin County portion of Lake Okeechobee measured a 15-minute sustained wind of 79 mph with a peak gust of 105 mph.  In metropolitan Palm Beach the highest official sustained wind speed was 60 mph with a peak gust of 94 mph from the C-MAN station at Lake Worth Pier. An unofficial peak wind gust of 125 mph was measured in West Palm Beach at the Solid Waste Treatment Plant.   In Glades County near the western shore of Lake Okeechobee the highest sustained wind measured at a SFWMD instrument was 68 mph with a peak gust of 94 mph. Near Clewiston the highest measured sustained wind was 31 mph with a peak wind gust of 72 mph from a SFWMD instrument.  The highest measured sustained wind in Broward County was 46 mph with a peak wind gust of 67 mph from the ASOS site at Pompano Beach Airpark.  At Fort Lauderdale-Hollywood International Airport the ASOS site measured a maximum sustained wind of 40 mph with a peak gust of 56 mph.  In Miami-Dade County a maximum sustained wind of 49 mph with a peak gust of 59 mph was measured at the C-MAN station at Fowey Rocks Light with sustained winds of 26 mph and gusts to 36 mph at Miami International Airport ASOS.  At the Naples Municipal Airport, the ASOS maximum sustained wind was measured at 33 mph with a peak gust of 45 mph.  The lowest barometric pressure of 960.4 mb was measured at a SFWMD site in the Martin County portion of Lake Okeechobee._x000D_
_x000D_
A SFWMD gage measured a maximum storm-total rainfall amount of 10.22 inches over the eastern portion of Lake Okeechobee.  A SFWMD gage about four miles west of West Palm Beach International Airport measured 9.10 inches with 8.79 inches of that occurring in a 24-hour period. At Moore Haven, 5.99 inches of rain was measured.  Widespread storm-total amounts of one to four inches occurred in most of southeast and interior south Florida with Miami-Dade County and Collier County averaging one half to one inch. Mostly minor rainfall flooding was observed except locally severe in Palm Beach Gardens, Jupiter and in the farmlands of western Palm Beach County._x000D_
_x000D_
The estimated maximum storm surge ranged from two to four feet along the northeast Palm Beach Coast to one to two feet along the northeast Broward Coast.  Within the confines of the Herbert Hoover Dike, water levels on Lake Okeechobee fluctuated up to seven feet above and below normal causing severe flooding of some marinas.  Beach erosion was moderate in Palm Beach and minor in Broward and Miami-Dade counties._x000D_
_x000D_
There were no confirmed tornadoes._x000D_
_x000D_
There were no known direct deaths but four persons died in the aftermath.  An unknown number of injuries occurred. _x000D_
_x000D_
Property damage from storm surge and winds at the coast occurred to condos, marinas, piers, seawalls, bridges and docks, as well as to boats and a few coastal roadways. Inland wind damage to building roofs, mobile homes, trees, power lines, signs, and outbuildings occurred over mainly over Palm Beach County and portions of eastern Glades and Hendry counties._x000D_
_x000D_
A preliminary damage estimate for Jeanne in southeast Florida is $330 million, including $260 million in Palm Beach, $50 million in Broward and $10 million in Miami-Dade.  Agricultural  Damage in Palm Beach County was estimated at $30 million._x000D_
_x000D_
Florida Power and Light reported outages occurred to 591,300 customers in Palm Beach, 165,900 in Broward, 25,100 in Miami-Dade, 5,200 in Collier, 3,000 in Hendry and 1,500 in Glades. An estimated 12,534 persons sought refuge in public shelters in Palm Beach County.</t>
  </si>
  <si>
    <t>As Hurricane Dennis moved through the northwest Caribbean Sea and southeast Gulf of Mexico the outer fringes affected south Florida.  Several strong squalls moved across the area...mainly from Friday afternoon through Saturday afternoon. Overall damage across south Florida was minor and consisted mostly of uprooted trees or tree limbs blow down causing some damage to structure roofs...vehicles and power lines.  FP&amp;L estimated power outages to 463,000 customers.  There was one known direct death...a man who drowned on Thursday afternoon in a likely rip current off of Hollywood Beach. An indirect death occurred in Fort Lauderdale when a man was electrocuted after stepping on a downed power line._x000D_
_x000D_
Peak wind gusts at land locations included 69 mph at Miami Beach...68 mph at Flamingo...67 mph at Opa Locka Airport...64 mph at Tamiami Airport...58 mph at North Perry Airport...54 mph at Naples Airport...53 mph at Virginia Key...51 mph at Miami International Airport...50 mph at Pompano Beach Airport and 47 mph at For Lauderdale-Hollywood International Airport.  Over water, a peak gust of 84 mph was measured at the C-MAN station at Fowey Rocks Light._x000D_
_x000D_
Mostly minor coastal flooding was observed.  Along the southwest Florida coast the maximum storm surge was 2.6 feet with a maximum storm tide of 4.2 feet measured at Naples Pier. Along the southeast Florida Coast the maximum surge was less than one foot._x000D_
_x000D_
Rainfall flooding was mostly minor with official rainfall amounts for the 72 hour period from Friday through Sunday ranging from one to nearly seven inches with an average of two to four inches across much of south Florida.  The peak amount was 6.89 inches in Perrine with 5.03 inches in Hollywood and 4.36 inches at Fort Lauderdale.</t>
  </si>
  <si>
    <t>Hurricane Dennis passed within 75 miles southwest of Key West as a category 2 hurricane. Over the Monroe County Lower Keys, maximum winds were sustained at 53 knots (61 mph) with gusts to 64 knots (74 mph) at Key West and 51 knots (59 mph) gusting to 68 knots (78 mph) at Sand Key. Unofficial wind gusts to 93 knots (107 mph) were reported at Cudjoe Key. Maximum storm tides were estimated to 4.5 feet above mean sea level on the Atlantic shore of Key West near the International Airport. One fatality occurred aboard a vessel moored at Stock Island due to drowning. No injuries were reported. Property damage estimated at $6.8M due to wind damage mainly to roofing, electrical equipment, landscaping and mobile homes, with estimated $100K due to combined wind and rain damages to the Key West Airport. Minimum pressure reported was 998.8 mb at Sand Key.</t>
  </si>
  <si>
    <t>Hurricane Dennis passed within 75 miles southwest of Key West as a category 2 hurricane.  In the Monroe County Middle Keys, maximum rainfall was 2.00 inches at Curry Hammock State Park, east of Marathon. Maximum winds were 64 knots (74 mph) gusting to 76 knots (87 mph) at Sombrero Key Light. Maximum storm tides were estimated at 2 to 3 feet above mean sea level, producing minor flooding under elevated homes at Marathon. Minimum pressure reported was 1005.5 mb at Sombrero Key Light. No fatalities or injuries were reported. Damage was estimated at $250K from wind damage to commercial signs, landscaping and electrical equipment.</t>
  </si>
  <si>
    <t>Hurricane Dennis passed within 75 miles southwest of Key West as a category 2 hurricane. In the Monroe County Upper Keys, the maximum rainfall was 1.55 inches at Tavernier.  Maximum Storm Tides were estimated at 2 to 3 feet above mean sea level, overtopping bulkheads and producing minor street flooding.  Maximum winds were recorded at 51 knots (59 mph) gusting to 59 knots (68 mph) at Carysfort Reef Light.  Minimum pressure reported was 1007.6 mb at Molasses Reef Light. No deaths or injuries were reported in the Upper Keys.  Damage was estimated at $100K mostly to landscaping and electric utility equipment.</t>
  </si>
  <si>
    <t>For the second time in less than a week, and the third time in two months, the area was threatened by a tropical event.  Major Hurricane Dennis impacted portions of the area during the day and evening of July 10th.    The storm made landfall around 130 PM CST as a category three hurricane near Navarre Beach in Santa Rosa county.  Dennis then moved north northwest across Santa Rosa and northeast Escambia county in Florida.  The weakening storm then moved across the west part of Escambia, the south part of Monroe, the east part of Clarke and the northeast part of Choctaw counties in Alabama.  Dennis had a very small eye and winds around the eyewall of the storm caused significant damage as the storm moved north.  An aerial survey of the damage showed a five to ten mile wide area of destruction, with most of the damage east of the eye of the storm.  As Dennis moved north into Alabama the damage diminished and was confined to a smaller area.  A lot of the damage looked like a giant tornado, except the trees were all facing in the same general direction. Coastal counties across the area from Mobile to Destin were put under a Hurricane Watch at 300 PM CST on July 8, then a Hurricane Warning at 300 AM CST on July 9.  An Inland Hurricane Warning was issued for most of the inland counties in Alabama at 436 PM CST on July 9.  Parts of southeast Mississippi were added to the warning during the early morning hours of July 10.  Most of the warnings were dropped at 900 PM CST on July 10 as Dennis weakened as it moved inland._x000D_
Some of the wind reports from across northwest Florida on July 10 were as follows: Pensacola Regional Airport,  sustained wind of 66 knots with peak gust of 81 knots.  Pensacola Naval Air Station, sustained wind of 39 knots, peak gust 50 knots.  Pensacola (WEAR-TV), peak gust 46 knots. Valpariaso (Eglin Air Force Base), sustained winds of 48 knots, peak gust of 72 knots.  Destin airport, sustained winds of  49 knots, peak gust 64 knots.  Crestview, sustained wind of 37 knots, peak gust 50 knots.  Navarre, peak gust of 105 knots.  Pensacola (near airport), peak gust 83 knots.  Destin (near airport), peak gust 70 knots. Pace, peak gust 92 knots.  Pensacola (southeast of airport), peak gust 88 knots.  Some of the wind reports across southwest Alabama on July 10 were as follows:  Mobile Regional Airport, sustained wind of 32 knots, peak gust of 42 knots.  Dauphin Island, sustained wind at 42 knots, gust to 57 knots.    Mobile Bay (USS Alabama), peak gust 67 knots.  _x000D_
Some of the lowest sea level pressures recorded with Dennis on July 10 were as follows: Pensacola Regional Airport, 956.6 MB.  Valpariaso (Eglin Air Force Base), 986.1 MB.  Pensacola Naval Air Station, 976.6 MB.  Mobile Bay (USS Alabama), 987.8 MB.  Mobile Regional Airport, 990.5 MB.    _x000D_
The highest 48 hour rainfall totals associated with Hurricane Dennis: In Florida:  Pensacola (WEAR) 7.67 inches.  Pace, 6.90 inches.  Milton, 7.01 inches.  Munson, 6.93 inches.  Niceville, 5.15 inches.  In Alabama: Bay Minette, 4.65 inches.   Butler 4.36 inches._x000D_
The highest storm tides from Dennis occurred at: Pensacola with 5.50 feet.  Santa Rosa Sound with 5.00 feet.  Destin with 4.60 feet.  Perdido Pass with 4.10 feet.  Pace with 3.5 feet.  A storm survey measured 6-6.5 feet on Navarre Beach.  Since the eye of Dennis was very small, the highest surge values were near and just to the right of the eye of the storm.  Some higher surge values occurred well east of Destin before Dennis moved ashore._x000D_
Major beach erosion occurred from Pensacola Beach to east of Destin.  Minor beach erosion occurred from Dauphin Island to Orange Beach.  Major flash flooding occurred along and east of the center of Dennis during the afternoon and evening of July 10 across northwest Florida and southwest Alabama.    As Dennis moved inland,  tornado like damage occurred near the eyewall of storm.  Almost every structure located on Navarre Beach suffered some kind of damage.  The structures that were located on the beach front all suffered damage.   The Air Force bases at Eglin and Hurlburt reported over a half billion dollars in damage from Dennis.  Almost 200 homes in northwest Florida reported major damage.  Part of U. S. Highway 98 between Fort Walton Beach and Destin in Okaloosa county were again washed out by high water.  The west bound lanes were damaged by the surge but the east bound lanes were okay.  It was also estimated that most of this years cotton crop in northwest Florida was damaged._x000D_
No direct deaths were reported with Dennis, but three indirect deaths were reported.  Two died from Carbon Monoxide poisoning in Escambia county Florida and one from electrocution in Escambia county Alabama.  All of the deaths were related to the improper use of emergency generators.</t>
  </si>
  <si>
    <t>Dennis, a Category 3 hurricane, moved inland just east of Gulf Breeze, FL, early Sunday afternoon, July 10.  The peak wind gust and lowest sea-level pressure recorded were 67 knots and 979 mb, respectively, at Buoy 42039 located 80 miles south of Panama City, FL.  Rainfall totals ranged from 3 to 4 inches in the eastern Florida Panhandle to 6 to 10 inches in the Florida Big Bend.  Flooding was reported in southern Leon County where several areas were under 3 to 4 feet of water.  Maximum coastal storm surge heights ranged from 4 to 8 feet in Walton, Bay, Gulf, Taylor and Dixie counties to 8 to 12 feet in Franklin, Wakulla and Jefferson counties.  Moderate to severe beach erosion was observed along the beaches of Walton, Bay, Gulf, Franklin and Wakulla counties.  Across coastal Walton County, all public dunes and walkovers were damaged.  At St George Island, five miles of road and numerous structures were damaged or destroyed by Dennis' storm surge.  Dennis' deluge caused several rivers and creeks in the Florida Panhandle and Big Bend to exceed their flood stages, including the Ocklockonee, Aucilla, St Marks rivers, and Spring Creek.  An interesting aspect to the flooding is the remarkable surge up to 8 feet that propagated up the rivers.  This surge was evident from the mouth of the Suwannee River to as far west as the Choctawhatchee River.  The worst property damage occurred along the coast from Walton to Wakulla County, where more than a 1,000 homes and businesses were affected.  Also, there were numerous reports of downed trees and power lines across the Florida Panhandle and Big Bend, leaving about 75,000 customers without power.  Bay, Dixie, Franklin, Gulf, Taylor, Wakulla and Walton counties were declared federal disaster areas.</t>
  </si>
  <si>
    <t>High winds from the eyewall of Hurricane Dennis blew down numerous trees across Santa Rosa and the east parts of Escambia counties.  The eyewall tracked across Santa Rosa and the northeast part of Escambia county.  Wind gusts  of more than 100 mph were estimated across Santa Rosa and the east part of Escambia county.  In addition to trees being blown down, several structures were damage just to the east of the center of Dennis.  Most of the structural damage to buildings was generally from Navarre to Milton to Jay.  Several trees also fell on structures and damaged them.  The dollar estimates from the damage for this will be under the main Dennis summary in this publication.</t>
  </si>
  <si>
    <t>High winds from the eyewall of Hurricane Dennis blew down numerous trees in the west part of Okaloosa county.  Wind gust  of 80-100 mph were estimated across the west part of the county.  Several of the trees fell on structures and damaged them.  The dollar estimates from the damage for this will be under the main Dennis summary in this publication.</t>
  </si>
  <si>
    <t>A tropical wave that moved across the Atlantic from near the west coast of Africa eventually spawned the tropical cyclone that became hurricane Katrina.  The tropical wave became a tropical depression near the central Bahamas late on August 22.  The depression moved slowly northwest and became tropical storm Katrina on August 24 near the northwest Bahama Islands then turned west and intensified to a hurricane on August 25, a few hours before making landfall on the southeast Florida Coast._x000D_
_x000D_
The center of the ragged 25-mile-wide eye of Katrina made landfall around 6:30 PM EDT, Thursday, August 25 near the Broward/Miami-Dade County border then moved toward the southwest across central and southwest Miami-Dade County, passing directly over the National Weather Service (NWS) Office in Sweetwater.  Katrina briefly weakened to a tropical storm before exiting the Florida peninsula into the Gulf of Mexico early on August 26 just north of Cape Sable in mainland Monroe County then quickly regained hurricane strength in the southeast Gulf of Mexico.  The distribution of winds and rain near the center of Katrina while passing across the south Florida peninsula were asymmetrical with the strongest winds and heaviest rain located to the south and east of the center._x000D_
_x000D_
Measurements from reconnaissance aircraft and Miami Doppler Weather Radar estimated maximum sustained winds in Katrina to be 80 mph.  The maximum reported sustained surface wind over the south Florida peninsula was 72 mph measured atop a building at the University of Miami's Rosenstiel School of Marine and Atmospheric Science (RSMAS) on Virginia Key.  This wind value was determined by adjusting the actual wind speed to the standard anemometer height of 10 meters.  This same site recorded an unadjusted peak wind speed of 94 mph.  The anemometer atop the Miami Weather Forecast Office in Sweetwater measured a sustained wind of 69 mph.  Maximum sustained winds measured at the NWS Automated Surface Observing System (ASOS) sites included 60 mph at Fort Lauderdale-Hollywood International Airport, 50 mph at Tamiami Airport in West Kendall and 48 mph at Miami International Airport._x000D_
_x000D_
The maximum ASOS-measured peak wind gusts included 82 mph at Fort Lauderdale-Hollywood International Airport, 78 mph at Miami International Airport and 76 mph at Tamiami Airport in West Kendall.  Other unofficial peak wind gust measurements included 97 mph at Homestead General Airport, 92 mph at Port Everglades, 87 mph at the Miami Weather Forecast Office in Sweetwater, 77 mph at Marco Island, 76 mph at the Atlantic Oceanographic and Meteorological Laboratory (AOML) on Virginia Key, and 64 mph at Boca Raton Airport.  The minimum pressure measured over the south Florida peninsula was 983.1 millibars at the NWS site in Sweetwater._x000D_
_x000D_
Rainfall amounts were excessive across portions of south Miami-Dade County causing flooding of structures, vehicles, crop lands and nurseries.  A maximum storm total amount of 16.33 inches, of which 15.10 inches fell in a 24-hour period, was measured by a cooperative observed in Perrine.  Other heavy storm total amounts in south Miami-Dade County included 14.04 inches at Homestead Air Reserve Base, 12.25 inches near Florida City and 11.13 inches near Cutler Ridge.  Most of the remainder of metropolitan Miami-Dade County and all of metropolitan Broward and Palm Beach counties generally received rain amounts of two to four inches.  Rainfall over interior south Florida ranged from one to three inches with mostly less than one inch over coastal Collier County._x000D_
_x000D_
Mostly minor beach erosion and isolated incidence of coastal flooding were observed.  The maximum storm tide was estimated at three to five feet along the southwest Florida coast in mainland Monroe County.  This caused water damage to several homes, trailers and vehicles at Flamingo in Everglades National Park early on August 26.  Other maximum storm tide values included 3.0 feet at Naples Pier along the southwest coast at 2.1 feet at Virginia Key on the southeast coast._x000D_
_x000D_
A total of six persons are known to have died directly as a result of the winds and water.  Three of the deaths, all in Broward County, were associated with trees or tree limbs that were blown down, striking people.  The other three deaths, all in Miami-Dade County, were associated with drownings, two on boats and one under unknown circumstances.  In addition at least another six people died from indirect hurricane effects including three from carbon monoxide poisoning caused by generators, one in a vehicle accident, one during debris cleanup and one associated with a lack of electricity.  Several people were injured, including five or six related to carbon monoxide poisoning._x000D_
_x000D_
Total damage in south Florida was estimated at around $100 million.  Between 100 and 200 houses suffered significant damage, mainly in south Miami-Dade due to flooding. Wind damage was mainly to vegetation, signs, and watercraft.  Winds and flooding combined caused an estimated $423 million in losses to agriculture and nurseries.</t>
  </si>
  <si>
    <t>Hurricane Katrina passed 40 miles north of Key West as a category one hurricane. Katrina passed 15 miles north Dry Tortugas National Park as a category 2 hurricane.  Over the Monroe County Lower Keys, maximum winds were 54 knots (62 mph) with gusts to 67 knots (77 mph) at Sand Key. Rainfall totalled 10.05 inches at Key West, resulting in extensive street flooding and some residential flooding in Key West. Lowest pressure reported was 999.3 mb at Key West, and 974.4 mb at Dry Tortugas National Park. Storm tides were estimated at 2.5 feet above mean sea level at Key West. Total property damages estimated near $1 million. Most damage caused by wind and resulting rainwater intrusion to homes and businesses.</t>
  </si>
  <si>
    <t>Hurricane Katrina passed 40 miles north of Key West as a category one hurricane. Katrina passed 15 miles north Dry Tortugas National Park as a category 2 hurricane. Over the Monroe County Upper Keys, maximum winds were 53 knots (61 mph) with gusts to 67 knots (77 mph) at Molasses Reef Light.  Maximum rainfall was measured at 5.94 inches at John Pennekamp State Park at Key Largo. The lowest pressure reading was 1001.7 mb at Molasses Reef Light.  Storm Tides were around 1 foot above normal. Property damage estimated near $400K from wind damage.</t>
  </si>
  <si>
    <t>Hurricane Katrina passed 40 miles north of Key West as a category one hurricane. Katrina passed 15 miles north Dry Tortugas National Park as a category 2 hurricane.  Over the Monroe County Middle Keys, maximum winds were 58 knots (67 mph) with gusts to 69 knots (80 mph) at Sombrero Key Light.  Rainfall totalled 9.89 inches at Curry Hammock State Park east of Marathon, resulting in widespread rainwater flooding. Maximum storm tide was 1.5 feet above mean sea level. Minimum pressure recorded was 1000.2 mb at Long Key. Total property damage estimated at $5.5 million. One tornado occurred at Marathon...resulting in damages up to $5 million. $500K in damage resulted from wind.  No fatalities or injuries reported.</t>
  </si>
  <si>
    <t>Catastrophic Hurricane Katrina came ashore early Monday morning, August 29, just east of Grand Isle in southeast Louisiana with 125-mph winds.  The maximum sustained and peak winds of 37 and 46 knots, respectively, were recorded at the Buoy 42039, 80 miles south of Panama City, FL.  The lowest sea level pressure recorded was 1000.2 mb at Buoy 42039.  Rainfall totals for the 48-hour period ranged from one to three inches.  Maximum storm surge heights ranged from five feet from Wakulla County westward and two feet across Taylor and Dixie counties.  Severe beach erosion occurred across coastal Walton County as well as coastal portions of Bay and Gulf counties.  Moderate beach erosion was observed from St George Island to Bald Point of Franklin County.  Law enforcement officials reported some county roads flooded across coastal Walton County.  Mandatory evacuations were ordered for coastal areas of Walton, Gulf, Franklin and Wakulla counties.</t>
  </si>
  <si>
    <t>Hurricane Rita passed 45 miles south of Key West as a category two hurricane. Over the Monroe County Lower Keys, maximum winds were 63 knots (72 mph) with gusts to 80 knots (92 mph) at Sand Key.  Minimum pressure recorded was 988.5 mb at Sand Key and 994.0 at Dry Tortugas. Rainfall totaled 2.05 inches at Key West.  Maximum storm tides were 4 to 5 feet above sea level. Wind damage was generally to roofing and trees, with most damage occurring in Key West. Storm surge was significant in Key West flooding up to 200 residential properties.</t>
  </si>
  <si>
    <t>Hurricane Rita passed 45 miles south of Key West as a category two hurricane.  Over the Monroe County Middle Keys, maximum winds recorded were 61 knots (70 mph) with gusts to 69 knots (79 mph) at Sombrero Key Light. Minimum pressure was 1001.0 mb at Sombrero Key Light.  Rainfall totaled 2.58 inches at Marathon. Maximum storm tides were estimated at 3 to 4 feet above sea level. Extensive street flooding and minor wind damage, mostly to trees and roofing.</t>
  </si>
  <si>
    <t>Hurricane Rita passed 45 miles south of Key West as a category two hurricane.  Over the Monroe County Upper Keys, maximum winds were sustained 39 knots (45 mph) with gusts to 52 knots (60 mph) at Long Key.  Minimum pressure recorded was 1003.3 mb at Long Key. Rainfall totalled 4.26 inches at John Pennekamp State Park in Key Largo. Storm tides estimated at 3 to 4 feet above mean sea level. Numerous coastal streets flooded with U.S. Highway One flooded at Sea Oats Beach on Lower Matecumbe Key.</t>
  </si>
  <si>
    <t>The center of Hurricane Wilma moved northeast from the vicinity of Dry Tortugas northeast through 65 miles northwest of Key West during the night of October 23 to 24, 2005.  Hurricane Wilma resulted in at least 2 injuries and at least $33 million in damages to Monroe County.  Over the Upperr Keys from Craig Key to Ocean Reef, maximum winds were measured at 65 knots with gusts to 79 knots.  At Molasses Reef C-MAN station. Overall...average winds across the inhabited Lower Keys were estimated at 70 to 80 mph with gusts up to 90 mph with general Category 1 Saffir Simpson Damage noted.  Rainfall across the Lower Keys was fairly light but typical for a fast-moving hurricane, 1.50 inches measured at Pennekamp State Park in Key Largo._x000D_
Wilma primarly produced one storm tide along the bayside of the Upper Keys...ranging from 4 to 5 feet above sea level with the worst in Lower Matecumbe Key.  U.S. Route 1 north of Key Largo was temporarily flooded at least 3 inches at maximum surge during the afternoon hours on October 24.</t>
  </si>
  <si>
    <t>The center of Hurricane Wilma moved northeast from the vicinity of Dry Tortugas northeast through 65 miles northwest of Key West during the night of October 23 to 24, 2005.  Hurricane Wilma resulted in at least 2 injuries and at least $33 million in damages to Monroe County.  Over the Lower Keys from 7 Mile Bridge through Key West, maximum winds were measured at 62 knots with gusts to 72 knots before instrumentation failed at the Key West International Airport.  Peak wind gusts to 107 knots at Cudjoe Key and 116 knots and Dry Tortugas National Park were recorded by spotters and park personnel. Overall...average winds across the inhabited Lower Keys were estimated at 80 to 90 mph with gusts up to 110 mph with general Category 1 Saffir Simpson Damage noted.  Rainfall across the Lower Keys was fairly light but typical for a fast-moving hurricane, 2.02 inches being measured at Key West Airport.  _x000D_
Wilma resulted two separate storm tides in the Lower Keys.  The, first, in association with south winds...brought a storm tide of 4.5 feet above mean sea level along the south shore of Key West, and a second more severe storm tide ranging from near 6 feet above mean sea level at Key West to 8.5 feet along the north shores of Big Coppitt Key, Cudjoe Key and Big Pine Key during the late morning hours on October 24.  About 60 percent of Key West was under water, and nearly 12000 vehicles were flooded.  Most homes sustained damage by flooding of 2 to 3 feet with severe electrical, drywall and mold-related damages.</t>
  </si>
  <si>
    <t>The center of Hurricane Wilma moved northeast from the vicinity of Dry Tortugas northeast through 65 miles northwest of Key West during the night of October 23 to 24, 2005.  Hurricane Wilma resulted in at least 2 injuries and at least $33 million in damages to Monroe County.  Over the Middle Keys from 7 Mile Bridge through Craig Key, maximum winds were measured at 76 knots with gusts to 91 knots at Sombrero Key Light.  Overall...average winds across the inhabited Middle Keys were estimated at 80 to 90 mph with gusts up to 110 mph with general Category 1 Saffir Simpson Damage noted.  Rainfall across the Middle  Keys was fairly light but typical for a fast-moving hurricane, 2.39 inches being measured at Duck Key._x000D_
Wilma resulted two separate storm tides in the Middle Keys.  The, first, in association with south winds...brought a storm tide of 3 feet above mean sea level along the south shore of Marathon...with a second and more severe tide up to 9.5 feet above mean sea level along the north shore of Marathon. The city of Marathon was entirely under water at one point during the storm. Most homes and businesses sustained damage by flooding of 2 to 4 feet with severe electrical, drywall and mold-related damages.</t>
  </si>
  <si>
    <t>Wilma was a classic October hurricane which struck South Florida as a Category 3 hurricane on October 24th, 2005. Wilma developed from a tropical depression near Jamaica, a typical source region for October tropical cyclones, on the afternoon of October 15, 2005. It became the 21st named storm of the season during the morning hours of October 17, 2005, which tied the record for the most named storms in one season originally set back in 1933. Wilma underwent a rapid intensification cycle which began on October 18th and ended in the early morning hours of October 19th, with a central pressure decrease of an incredible 88 mb in only 12 hours!  The central pressure reached 882 mb, making Wilma the most intense hurricane ever in the Atlantic Basin, a full 6 mb lower than Hurricane Gilbert in September 1988. Wilma went on to make landfall on Cozumel Island just off the Yucatan Peninsula as a strong category 4 hurricane on Friday, October 21st, then drifted erratically over the Yucatan Peninsula through Saturday evening October 22nd._x000D_
_x000D_
   Wilma began to move off the northeast coast of the Yucatan Peninsula on the night of the 22nd, then gradually accelerated northeast over the southern Gulf of Mexico toward South Florida as a strong mid and upper-level trough over the central United States moved south and forced a southwesterly steering flow. The hurricane made landfall as a category 3 storm shortly before 7 AM Monday, October 24th on the southwest Florida coast between Everglades City and Cape Romano with maximum sustained winds of 125 mph and an estimated minimum central pressure of 950 mb. _x000D_
_x000D_
  Wilma exhibited a very large 55 to 65 mile-wide eye while crossing the state, and the eye covered large portions of South Florida, including the eastern two-thirds of Collier County, extreme northwestern Miami-Dade County, the southern and eastern third of Hendry County, most of Broward County, and all of Palm Beach County. The eye also clipped the southeastern shore of Lake Okeechobee. The eye wall, the part of the storm with the strongest winds, affected virtually all of South Florida.  Around 10:30 AM, a South Florida Water Management District (SFWMD) meteorological station located at the south end of Lake Okeechobee reported sustained winds of 103 mph. Sustained hurricane force winds (74 mph or greater) were observed over all areas except Hendry and Glades counties, and even those two counties measured hurricane force gusts.  The highest recorded gusts were in the 100-120 mph range.  An interesting and revealing aspect of Wilma was the wind field in the eye wall.  The winds on the back (south/west) side of the eye wall were as strong, if not stronger, than those on the front (north/east) side. This goes against the common, but sometimes erroneous, belief that the strongest winds in a hurricane are always in the right-front quadrant of the storm. This occurred over much of South Florida, except for central and southern Miami-Dade County which barely missed the southwestern portion of the eye wall, and likely contributed to the heavier damage across Broward and Palm Beach counties compared to slightly lesser damage across much of Miami-Dade and Collier counties.   _x000D_
_x000D_
  Wilma moved rapidly northeast across the state, with an average forward speed of 25 mph. Wilma exited the east coast over northeastern Palm Beach County near Palm Beach Gardens around 11 AM Monday October 24th as a Category 2 hurricane with maximum sustained winds of around 105 mph.  It traversed the southern peninsula in about 4 hours._x000D_
_x000D_
 Rainfall amounts across South Florida generally ranged from 2 to 4 inches across southern sections of the peninsula to 4 to 6 inches across western Collier county and around Lake Okeechobee, with a maximum amount of 7.31 inches in Clewiston._x000D_
_x000D_
  The maximum storm surge across the area was mostly south of Chokoloskee in Mainland Monroe county where a storm surge of 13 to 18 feet was forecast. Chokoloskee experienced a storm surge of around 7 feet, which caused extensive flooding. A storm surge of around 8 feet was estimated in Marco Island, with 4 feet in Everglades City. The southeast coast didn't escape the effects of the storm surge, with the tide gauge in Virginia Key reported a maximum surge of around 4 feet. Minor surge flooding was noted in Coconut Grove, Downtown Miami, and Northeast Miami. _x000D_
_x000D_
 In Collier, Miami-Dade, Broward, and Palm Beach Counties, the winds killed a total of 5 people. Total damage estimates from all the effects range from $9 to $12 billion. Extensive damage to crops was reported, with an estimated $222 million in crop damage for Miami-Dade County alone._x000D_
_x000D_
  Damage was widespread, with large trees and power lines down virtually everywhere, causing over 3 million customers to lose power. Structural damage was heaviest in Broward and Palm Beach counties where roof damage and downed or split power poles were noted in some areas. High-rise buildings suffered considerable damage, mainly in the form of broken windows. This was observed mainly along the southeast metro areas, but also in Naples, which underscores the higher wind speeds with height commonly observed in hurricanes. _x000D_
_x000D_
  One confirmed tornado was observed in rural Collier County around 2:30 AM on the 24th, moving rapidly northwest from the intersection of U.S. 41 and State Road 29 to the town of Copeland three miles to the north. An F1 intensity was assigned to the tornado as it caused snapped power poles, uprooted large trees, and significantly damaged mobile homes. Small swaths of greater damage elsewhere in South Florida have not been attributed to tornadoes, but were instead likely caused by  mini-swirls"</t>
  </si>
  <si>
    <t xml:space="preserve"> small vortices within the eye wall that have been observed in previous strong hurricanes such as Hurricane Andrew in 1992."</t>
  </si>
  <si>
    <t>Hurricane Wilma made landfall near Cape Romano in Collier County around daybreak on October 24th as a Category 3 hurricane with a 60 mile wide eye wall. Wilma then raced across far southern Florida in five hours and exited into the Atlantic just north of Palm Beach as a Category 2 hurricane.  Wilma produced widespread heavy rains of 4 to 8 inches across the area but unseasonably dry conditions prior to Wilma limited flooding.  Storm surge was not a problem in the Fort Myers area as winds were offshore. _x000D_
_x000D_
In Lee County...The north part of Hurricane Wilma's eye wall passed along the Lee/Collier county border.  Southern Lee County received widespread minor to isolated moderate damage. A peak wind gust of 87 MPH was reported at the C-MAN station at Big Carlos Pass at 654 AM EDT.  The Regional Southwest airport recorded a peak wind from the north of 79 MPH at 828 AM EDT and Page Field recorded a peak wind of 76 MPH at 812 AM EDT.  An estimated 17,000 claims were made to the insurance industry and and $101 million in insured and uninsured damage was reported to numerous mobile homes, aluminum-sided structures, pool cages, shingles, and thousands of fallen trees, some onto residences and vehicles. Farther north, problems were much less notable with minor damage to poorly constructed structures and mobile homes, and scattered tree, limb, and power line damage. The debris totaled about 200,000 cubic yards, or about 1/10 of the debris left by Hurricane Charley in 2004.  Power was out to about 208,000 customers at the peak of the storm.</t>
  </si>
  <si>
    <t>COASTAL FRANKLIN (ZONE)</t>
  </si>
  <si>
    <t>EST-5</t>
  </si>
  <si>
    <t>Emergency Manager</t>
  </si>
  <si>
    <t>Hurricane Hermine impacted the Florida big bend in early September with significant storm surge along the coast and strong winds inland which downed numerous trees and power lines, resulting in extended power outages in Tallahassee.  The following inundation values (height above mean higher high water) were estimated along the coast.  Panama City Beach:  1.71 ft, Panama City Marina:  1.60 ft, Apalachicola:  3.04 ft, Curtis Mill (US-319):  5.29 ft, Spring Creek Entrance:  5.91 ft, Town of Saint Marks:  5.08 ft, Saint Marks Lighthouse:  6.28 ft, Nutall Rise (Aucilla River):  6.07 ft, Econfina River:  7.17 ft, Spring Warrior Creek:  8.57 ft, Jabo Road (Taylor county):  7.94 ft, Keaton Beach:  7.57 ft, Steinhatchee Entrance:  7.30 ft, Shired Creek (Dixie county):  7.24 ft, Gopher River (Dixie county):  6.19 ft.  In addition, storm surge was noted up the Suwannee River past the US-19 gauge at Wilcox, which is more than 20 river miles from the mouth of the river.  The Wakulla River at Wakulla Springs also had its 2nd highest crest on record behind Hurricane Dennis (2005) at 7.49 ft NGVD29.  There were three tornadoes confirmed, all brief EF0's in Taylor county with no damage reported from them.  Rainfall generally ranged from 3-8 with minimal impacts from inland flooding.  Inland wind impacts were significant.  County by county impacts are as follows.  ||In Taylor county, 6 people were rescued from high water related to surge in Steinhatchee.  There were also 5 other rescues in the county.  Approximately 75 homes or businesses sutained major damage, 60 had minor damage, and 140 were affected.  Public assistance damage values were listed $907,000 for the county.  Additional individual assistance damage values were estimated at around $4,490,000 with $200,000 assigned to a destroyed structure, $50,000 assigned to a structure with major damage, $10,000 assigned to a structure with minor damage, and $1,000 assigned to a structure that was affected.||In Liberty county, there were sporadic power outages reported with public assistance damage values listed at $110,748.  ||In Franklin county, a mandatory evacuation of residents on Saint George Island occurred with the causeway being closed.  Surge flooding was reported in Apalachicola, Carrabelle Beach, and Alligator Point.  Approximately 27 homes or businesses were destroyed, 43 suffered major damage, 102 suffered minor damage, and 100 others were affected.  Public assistance damage values were listed at $703,872.  Additional individual assistance damage values were estimated at about $8,670,000 based on the numbers of homes and businesses damaged or destroyed.||In Dixie county, mandatory evacuations were ordered.  There were 61 homes or businesses that were destroyed, 540 that sustained major damage, 322 that sustained minor damage, and 660 others that were affected.  Public assistance damage values were listed at $3,269,599.  Additional individual assistance damage values were estimated at around $43,080,000 based on the numbers of homes and businesses damaged or destroyed.||In Wakulla county, mandatory evacuations were ordered for special needs and Zone A residents.  There were 133 trees down on roadways across the county and 115 power lines down.  One home or business was destroyed with 4 sustaining major damage.  There were an additional 43 with minor damage and 11 others affected.  Approximately 14759 customers lost power in the county.  Public assistance damage values were listed at $1,198,687.  Additional individual assistance damage values were estimated at around $841,000 based on the numbers of homes and businesses damaged or destroyed.||In Madison and Jefferson counties, there were numerous trees and power lines blown down.  Public assistance damage values were listed at $722,908 for Madison county and $681,697 for Jefferson county.||In Leon county, there were numerous trees and power lines blown down across the county and city of Tallahassee.  There were 45 homes or businesses destroyed, 187 suffered major damage, 259 suffered minor damage, and 238 were affected.  An estimated 80 percent of the city of Tallahassee lost power with roughly 145,000 homes or businesses without power at the peak of the outage.  On day 6 of the power outage, there were still 3685 residents without power.  The peak wind gust measured in the county was 64 mph at the FSU campus, but some gusts were not recorded due to the widespread power outages, and the actual peak gust was likely higher than that.  Public assistance damage values were listed at $8,771,036.  Additional individual assistance damage values were estimated at about $21,200,000 based on the numbers of homes and businesses damaged or destroyed.</t>
  </si>
  <si>
    <t>INLAND FRANKLIN (ZONE)</t>
  </si>
  <si>
    <t>COASTAL WAKULLA (ZONE)</t>
  </si>
  <si>
    <t>INLAND WAKULLA (ZONE)</t>
  </si>
  <si>
    <t>COASTAL JEFFERSON (ZONE)</t>
  </si>
  <si>
    <t>INLAND JEFFERSON (ZONE)</t>
  </si>
  <si>
    <t>COASTAL TAYLOR (ZONE)</t>
  </si>
  <si>
    <t>INLAND TAYLOR (ZONE)</t>
  </si>
  <si>
    <t>Hurricane</t>
  </si>
  <si>
    <t>Major Hurricane Matthew passed nearly 35 miles offshore Indian River County during the early morning hours of October 7, producing a long duration of sustained tropical storm winds and a short period of frequent gusts to hurricane force along the coast from around Vero Beach northward. The highest sustained wind recorded at the Vero Beach Municipal Airport was 55 mph from the northwest at 0150LST on October 7 and the peak gust was 74 mph from the west at 0251LST. Wind damage occurred to more than two dozen homes, mainly a result of trees falling onto roofs. Three homes were destroyed, 15 sustained major damage, seven experienced minor damage and an additional seven homes were affected in some way. Other minor damage occurred to garage doors, car ports, fences and pool screen enclosures. Preliminary property damage was estimated at $15.8 million. A total of 1,297 residents evacuated to shelters within the county.  No injuries or fatalities were reported.</t>
  </si>
  <si>
    <t>Major Hurricane Matthew moved northwest from the eastern tip to Cuba, reaching the extreme western coast of Grand Bahama Island during the evening of October 6 at Category 4 strength. The hurricane continued northwest and was centered approximately 55 miles east of Stuart at 2300LST. Matthew then paralleled the Florida coast, remaining just offshore as a Category 3 hurricane. The eye reached its closest point of approach to land, only 25 miles east of Cape Canaveral near 0800LST on October 7, and was 35 miles east of Daytona Beach around 1100LST, as it continued moving northwest, just offshore the northeast Florida coast. Hurricane force winds (sustained or frequent gusts) affected coastal areas from Vero Beach northward, extending inland across the mainland portions of Brevard and Volusia Counties, with tropical storm force winds experienced across much of the remainder of east-central Florida. The strongest winds occurred along the coast from Cape Canaveral in Brevard County to north or Ormond-By-The-Sea in Volusia County, where Category 1-2 winds were likely experienced. Two direct hurricane-related fatalities and one direct injury occurred, in addition to nine indirect deaths. Preliminary damage estimates across east-central Florida exceeded $580 million, with $514 million reported in Volusia County alone.||A storm surge of 3-6 feet affected the beaches from near the Indian River/St. Lucie County line northward to the Volusia/Flagler County line, along with moderate to major beach erosion, with the highest surge (5-6 feet) and most significant erosion occurring north of Daytona Beach. Farther south, a surge of 2-3 feet occurred, along with minor to moderate beach erosion.  ||Rainfall totals reached 7-9 inches across parts of Seminole and Volusia Counties, where widespread flooding of streets and low-lying areas occurred. Elsewhere, rainfall totals were generally 2-6 inches, with isolated, minor flooding of poor drainage areas and standing water on roadways.</t>
  </si>
  <si>
    <t>NWS Storm Survey</t>
  </si>
  <si>
    <t>The center of major Hurricane Matthew passed only 25 miles offshore Brevard County during the morning hours of October 7, producing a long duration of sustained tropical storm winds through much of the county and a shorter period of frequent gusts to hurricane force closer to the coast. A NWS damage survey confirmed that sustained category 1-2 hurricane winds likely occurred along the coastline from Cape Canaveral northward. The highest sustained wind recorded at the Melbourne International Airport was 53 mph from the north at 0146LST on October 7 and the peak gust was 70 mph from the northwest at 0257LST. A USAF wind sensor at 54 feet above ground level near the beach north of Cape Canaveral recorded a sustained wind of 79 mph and a gust of 107 mph. Other recorded peak wind gusts included 87 mph at Satellite Beach, 81 mph on Merritt Island and 77 mph at Cocoa Beach. Wind damage occurred to several hundred homes, often a result of impacts due to falling trees.  Eleven homes were destroyed, 140 sustained major damage, 549 experienced minor damage and an additional 1,500 homes were affected in some way. Structural damage to homes and businesses due to wind were confined mainly to the barrier islands as well as those properties exposed to larger bodies of water. Damage generally involved roof shingles, soffits, awnings, and pool enclosures. Further inland, property damage was mainly a result of fallen trees, especially to older buildings and mobile homes near wooded areas. Several homes experienced water intrusion due to damaged roofs. Two homes were lost to fire as officials suspended emergency services during the height of the storm. County-wide, there was sporadic damage to fences, awnings, and screen rooms. About 227,000 customers were without power at the height of the storm, or about 75 percent of the county. Preliminary property damage was estimated at $35 million to residential structures and $40 million to public structures. Mandatory evacuations were ordered for residents of the barrier islands, including Merritt Island, as well as low-lying areas, RV parks, and mobile homes across the remainder of the county. A total of 4,320 residents evacuated to shelters within the county.  There was one direct injury. A male in his 40s was injured in Port Canaveral when a sign fell and struck him during the storm.</t>
  </si>
  <si>
    <t>The center of major Hurricane Matthew passed only 30 miles offshore Volusia County during the morning hours of October 7, producing a 12-hour period of sustained tropical storm force winds through much of the county and a shorter period of frequent gusts to hurricane force closer to the coast. A NWS damage survey confirmed that sustained category 1 hurricane winds likely occurred along portions of the coastline. The highest sustained wind recorded at the Daytona Beach International Airport was 52 mph from the north at 0545LST on October 7 and the peak gust was 71 mph from the north at 0711LST. Other recorded peak wind gusts included 84 mph at Embry-Riddle University in Daytona Beach and 83 mph at New Smyrna Beach. Wind damage occurred to several thousand homes, often a result of impacts due to falling trees.  Sixty-nine homes were destroyed, 467 sustained major damage, 1,494 experienced minor damage and an additional 10,041 homes were affected in some way. Structural damage to homes and businesses due to wind were mainly confined to the barrier islands as well as those properties exposed to larger bodies of water. Damage to the roofs of older buildings was more notable than newer construction, where damage was generally confined to roof shingles, soffits, awnings, and pool enclosures. Further inland, property damage was mainly a result of fallen trees, especially to older buildings and mobile homes within densely wooded areas.  At the peak of the storm, nearly 258,000 customers were without power, or 92% of the county.  Preliminary property damage was estimated at $514.4 million. Mandatory evacuations were ordered for all of the barrier islands, as well as low-lying areas, RV parks, and mobile homes across the remainder of the county. A total of 4,000 residents evacuated to shelters within the county.  One direct fatality and four indirect fatalities resulted from the hurricane. A 63-year-old woman died on October 7 during the hurricane when a tree fell on her as she was feeding animals outside her Deland home. On October 10, an 87-year-old man was electrocuted by a downed power line in Deleon Springs around 0700LST. Also on this date, a 9-year-old Daytona Beach boy was found unconscious in his home after officials discovered a generator running in another room. The boy later died from carbon monoxide poisoning at a local medical center. A 47-year-old Ohio man assisting with debris cleanup efforts in Ormond Beach was killed on October 10 when part of a downed tree rolled on top of him and pinned him underneath. On October 14 around 1000LST, a 52-year old tree trimmer died after he was electrocuted while cleaning up storm debris in a Deltona backyard.</t>
  </si>
  <si>
    <t>COASTAL PASCO (ZONE)</t>
  </si>
  <si>
    <t>In coastal portions of Pasco County, winds from Hurricane Irma were estimated to be 60-70 knots based on surrounding observations. Rainfall was generally around 4 inches or greater, with the highest rain total 6.83 inches at the GOES site LWOF1 near Port Richey. The wind resulted in damage to numerous homes, as well as knocking over trees and power lines.||The total damage from Irma in Pasco County was estimated at $860,000 in public assistance claims, including debris removal and emergency protective measures, of which, $200,0000 was estimated to be caused by wind damage in coastal portions of Pasco County. ||One indirect fatality was reported in Port Richey on the 8th when a 69 year old man evacuating ahead of Irma crashed into a tree.</t>
  </si>
  <si>
    <t>Monetary losses do not include insured losses.  Fatalities are preliminary until the Florida Medical Examiner releases the official information.  This document will be updated once released. ||Hurricane Irma made landfall on Marco Island as a Category 3 hurricane on the afternoon of the 10th and traveled north through southwest Florida through the morning of the 11th. Prior to making landfall in southwest Florida, Irma had previously reached Category 5 strength and made landfalls in Cuba and the Florida Keys. At it's peak, Irma had a central pressure of 914 mb. ||The maximum storm surge in southwest Florida was 3.88 feet in Fort Myers at midnight EST on the 11th. Subtracting the astronomical tide of 0.04 feet, the maximum storm tide was calculated from the tide gauge as 3.28 feet MHHW at 2:36 PM EST on the 11th. Farther north, the storm surge was generally less than 3 feet. Due to the track making landfall south of the area then moving north and parallel but inland of the coast, strong offshore flow north of the eye produced in even stronger negative storm surge before the positive surge in most areas as water was pushed away from the coast. ||Rain from Irma started to accumulate over southwest Florida and interior parts of west central Florida on the morning and afternoon of the 10th, with most of the area seeing the highest rain totals during the early morning hours of the 11th. The rain then largely ended by mid morning on the 11th. Most of the area saw rainfall accumulations of 5-10 inches, with some isolated spots seeing totals of over 15 inches. The highest rain total reported was 18.65 inches at the home weather station D1496 in Beverly Hills in Citrus County. The widespread heavy rain caused significant river flooding issues across west central and southwest Florida, with major flooding being observed at points on the Withlacoochee, Anclote, Hillsborough, Alafia, Little Manatee, and Peace Rivers as well as the Horse Creek. ||The collective effects of Hurricane Irma in west central and southwest Florida during the period of September 10 and 11 resulted in 2 direct fatalities, 14 indirect fatalities, an estimated $2.2 billion in property damage (adding individual assistance claims and public assistance claims, not including the cost of debris removal and emergency protective measures when known), and $379 million in crop damage. A total of 509 homes and businesses were destroyed, 5,589 had major damage, 18,834 sustained minor damage, and 61,920 were affected by Hurricane Irma in west central and southwest Florida.||County-by-County Impacts||Lee County - In inland portions of Lee county, the highest wind reported from Hurricane Irma was a gust to 77 knots at the ASOS at Southwest Florida International Airport during the late afternoon on the 10th. Rainfall was generally around 5 inches or greater, with the highest rain total being 11.59 inches at a mesonet site at the waste plant on Buckingham Road in Fort Myers. The wind resulted in damage to numerous homes, as well as knocking over trees and power lines, while heavy rain also causing flood damage to many homes. Lee County Emergency Management reported that 92 homes or businesses were destroyed by Irma, 2088 sustained major damage, 1721 had minor damage, and an additional 20426 were affected throughout Lee County. The total property damage from Irma in Lee County was estimated at $826.28 million in individual damage assessments, of which, $163.14 million was estimated to be caused by wind damage in inland portions of Lee County. Additionally, crop damage to citrus plants in Lee County was roughly estimated at $9.6 million. In coastal portions of Lee county, the highest wind reported from Hurricane Irma was a gust to 73 knots at the ASOS at Fort Myers Page Field during the late afternoon on the 10th. Rainfall was generally around 4 inches or greater, with the highest rain total being 10.60 inches at the ASOS at Fort Myers Page Field. The wind resulted in damage to numerous homes, as well as knocking over trees and power lines, while heavy rain also caused flood damage to numerous homes. Lee County Emergency Management reported that 92 homes or businesses were destroyed by Irma, 2088 sustained major damage, 1721 had minor damage, and an additional 20,426 were affected throughout Lee County. The maximum storm surge was 3.88 feet in Fort Myers at midnight EST on the 11th. Subtracting the astronomical tide of 0.04 feet, the maximum storm tide was calculated from the tide gauge as 3.28 feet MHHW 1436EST on the 11th. The total damage from Irma in Lee County was estimated at $826.28 million in individual assistance assessments, of which, $163.14 million was estimated to be caused by wind damage in coastal portions of Lee County. There was one direct fatality reported in Bonita Springs, when a 74 year old man fell down stairs near his home on the 11th. Due to the hurricane conditions, paramedics were not able to reach him for several hours, and he died on the 16th.||Charlotte County - In coastal portions of Charlotte County, the highest wind reported from Hurricane Irma was a gust to 64 knots at the ASOS at Punta Gorda Airport during the early evening on the 10th. Rainfall was generally around 5 inches or greater, with the highest rain total being 8.08 inches at the CoCoRaHS station FL-CH-13 in Port Charlotte. The wind resulted in damage to numerous homes, as well as knocking over trees and power lines. Charlotte County Emergency Management reported that 5 homes or businesses sustained major damage and an additional 200 were affected by hurricane Irma throughout Charlotte County. The total property damage from Irma in Charlotte County was estimated at $23 million, including $3 million in individual assistance claims, and $20 million in public assistance claims including for debris removal and emergency protective measures. An estimated $2.9 million was caused by wind damage in coastal portions of Charlotte County. Emergency management reported that sea walls collapsed when water left the Charlotte Harbor during the negative storm surge ahead of the storm, causing an estimated $20 million in damage. Timing was estimated by using the nearby tide gauge in Fort Myers, where the negative surge bottomed out at around -4 feet MLLW at around 1800EST on the 10th, then surged to a positive surge of just over 3 feet at about 0500EST on the 11th, before slowly receding through the rest of the day. Charlotte county emergency management reported that the negative surge caused sea walls to collapse, causing an estimated $20 million in public assistance claims. In inland portions of Charlotte County, winds from Hurricane Irma were estimated to be around 60 to 70 knots based on surrounding observations. Rainfall was generally around 5 inches or greater, with the highest rain total being 9.76 inches at mesonet station at Whidden Properties (WHID) near the eastern border of Charlotte County. The wind resulted in damage to numerous homes, as well as knocking over trees and power lines. Charlotte County Emergency Management reported that 5 homes or businesses sustained major damage and an additional 200 were affected by hurricane Irma throughout Charlotte County. The total property damage from Irma in Charlotte County was estimated at $23 million, including $3 million in individual assistance claims, and $20 million in public assistance claims including for debris removal and emergency protective measures. An estimated $100,000 of that damage was caused by wind damage in inland portions of Charlotte County. Additionally, crop damage to citrus plants in Charlotte County was roughly estimated at $15.9 million.||Sarasota County - In coastal portions of Sarasota County, the highest wind reported from Hurricane Irma was a gust to 70 knots at the home weather station AP859 in Sarasota during the evening on the 10th. Rainfall was generally around 4 inches or greater, with the highest rain total of 10.32 inches at the CWOP station C7986 in Laurel. The wind resulted in damage to numerous homes, as well as knocking over trees and power lines. Sarasota Emergency Management reported that 4 homes sustained major damage, 10 had minor damage, and 438 were affected. The total property damage from Irma in Sarasota County was estimated at $10.73 million, including $2.47 million in individual assistance claims and $8.26 million in public assistance claims. In inland portions of Sarasota County, winds from Hurricane Irma were estimated to be around 60 to 70 knots using surrounding observations. Additionally, crop damage to citrus plants in Sarasota County was roughly estimated at $2.2 million.||Manatee County - In coastal portions of Manatee County, winds from Hurricane Irma were estimated to be around 60 to 70 knots based on surrounding observations. The highest wind gust reported in coastal Manatee County was 61 knots at the ASOS at Sarasota Bradenton International Airport. Rainfall was generally around 5 inches or greater, with the highest rain total being 6.86 inches at the GOES station LWDF1 in Lake Ward. The wind resulted in damage to numerous homes, as well as knocking over trees and power lines. Manatee County Emergency Management reported that 14 homes or businesses were destroyed, 170 sustained major damage, 196 had minor damage, and an additional 2061 were affected by hurricane Irma throughout Manatee County. The total damage from Irma in Manatee County was estimated at $18.3 million in individual assistance claims, of which, $15.3 million was estimated to be caused by wind damage in coastal portions of Manatee County. One direct fatality was reported in Manatee County when an 89 year old man told his wife he was going out to secure their boat to their dock during the storm and was later found unresponsive in the canal. In inland portions of Manatee County, winds from Hurricane Irma were estimated to be around 60 to 70 knots based on surrounding observations. Rainfall was generally around 4 inches or greater, with the highest rain total being 6.65 inches at the HADS station MKHF1. The wind resulted in damage to numerous homes, as well as knocking over trees and power lines. Manatee County Emergency Management reported that 14 homes or businesses were destroyed, 170 sustained major damage, 196 had minor damage, and an additional 2061 were affected by hurricane Irma throughout Manatee County. The total property damage from Irma in Manatee County was estimated at $18.3 million in individual assistance claims, of which, $3 million was estimated to be caused by wind damage in inland portions of Manatee County. Additionally, crop damage to citrus plants in Manatee County was roughly estimated at $23.5 million.||DeSoto County - The wind gusts from Hurricane Irma were estimated to be around 60 to 70 knots based on surrounding observations. Rainfall was generally around 6 inches or greater, with the highest rain total being 11.34 inches at the CoCoRaHS station FL-DS-1 in Arcadia. The wind resulted in damage to numerous homes, as well as knocking over trees and power lines. Additional damaged occurred due to the high rain totals causing flooding on the Peace River and the Horse Creek. The total property damage from DeSoto County is unknown at this time. Additionally, crop damage to citrus plants in DeSoto County was roughly estimated at $71 million.||Hardee County - The highest wind reported from Hurricane Irma was a gust to 69 knots at the Hardee County Emergency Operations Center in Wauchula. Rainfall was generally around 6 inches or greater, with the highest rain total being 10.58 inches at a mesonet station in Zolfo Springs. The wind resulted in damage to numerous homes, as well as knocking over trees and power lines. Hardee County Emergency Management reported that 10 homes or businesses were destroyed by Irma, 20 sustained major damage, 71 had minor damage, and an additional 59 were affected. Additional damage occurred due to the high rain totals causing flooding on the Peace River. An EF-1 tornado was also found to have briefly touched down in Wauchula along US Highway 17 causing roof and power pole damage. The total property damage from Hardee County was estimated at $3.32 million, of which, $1.64 million was estimated to be caused by wind damage. Additionally, crop damage to citrus plants in Hardee County was roughly estimated at $57.5 million.||Highlands County - The highest wind reported from Hurricane Irma was a (3 second average) gust to 85 knots at Archbold Bio Station during the evening on the 10th. Elsewhere, the AWOS in Sebring registered a 5 second average gust to 75 knots. Rainfall was generally around 5 inches or greater, with the highest rain total being 10.31 inches at the CoCoRaHS station FL-HL-13 in Sebring. The wind resulted in damage to numerous homes, as well as knocking over trees and power lines. Highlands County Emergency Management reported that 144 homes or businesses were destroyed by Irma, 963 sustained major damage, 2408 had minor damage, and an additional 9623 were affected. The total property damage from Highlands County was estimated at $360 million in individual assistance claims, most of which was estimated to be caused by wind damage. Additionally, crop damage to citrus plants in Highlands County was roughly estimated at $70 million. There were four indirect fatalities from Irma in Highlands County. On the 9th, a 55 year old man fell off a ladder in Lake Placid while preparing his home. The man hit his head and died at a Tampa hospital on the 10th. A 56 year old man in Sebring collapsed while trimming trees on the 12th and died. The medical examiner determined that heart disease was the primary cause of death. A 62 year old man was found dead in his garage in Sebring on the 15th with a generator in the on position and out of gas. The medical examiner determined he died of carbon monoxide poisoning. A 23 year old man was electrocuted and died while trimming trees and clearing storm debris in Sebring on the 26th.||Polk County - The highest wind reported from Hurricane Irma was a gust to 75 knots at the APRS station AR663 near Bartow. Rainfall was generally around 6 inches or greater, with the highest rain total being 17.61 inches at the CWOP station E1114 in Davenport. The wind resulted in damage to numerous homes and businesses, as well as knocking over trees and power lines. Most notably, the wind removed a 7 story tall section of facade from the Winter Haven Senior Living Center. Polk County Emergency Management reported that 96 homes or businesses were destroyed by Irma, 1604 sustained major damage, 7710 had minor damage, and an additional 18537 were affected. The total property damage from Polk County was estimated at $69 million in public assistance claims, including from debris removal and emergency protective measures, most of which coming from wind damage. Additionally, crop damage to citrus plants in Polk County was roughly estimated at $93.5 million. One tornado was found to have touched down near Old Polk City Road near Lakeland, causing EF2 damage. Three indirect fatalities were reported in Polk County from Irma. A 7 year old girl died from carbon monoxide poisoning on the 13th in Lakeland due to a gas generator being run indoors. A 63 year old man died in Winterhaven on the 13th while conducting post hurricane work on his home. The medical examiner listed the primary cause of death as heart disease. A 77 year old died in Lakeland on the 17th after he fell while staying at a hurricane shelter.||Hillsborough County - In coastal portions of Hillsborough County, the highest winds reported from Hurricane Irma was a gust to 79 knots at the WeatherFlow station XEGM at Egmont Key. Rainfall was generally around 5 inches or greater, with the highest rain total being 16.18 inches at the CWOP site D3252 in Tampa. The wind resulted in damage to numerous homes, as well as knocking over trees and power lines. Hillsborough County Emergency Management reported that 41 homes or businesses were destroyed, 130 sustained major damage, 166 had minor damage, and an additional 93 were affected by hurricane Irma throughout Hillsborough County. The track of Irma resulted in a much stronger negative surge north of the eye, causing extremely low water levels. A couple of manatees got beached in the mud, and there was a lot of media coverage showing people walking out into the dry part of the bay to rescue them. No significant damage was reported from either the negative surge or the weak positive surge. The total damage from Irma in Hillsborough County was estimated at $19.95 million, including $17.86 million in individual assistance claims and $2.09 million in public assistance claims, of which, $7 million was estimated to be caused by wind damage in coastal portions of Hillsborough County. Three indirect fatalities were reported in Hillsborough County from Hurricane Irma. A 55 year old man in Town N' Country was trimming a damaged tree with a chainsaw when a branch fell on the chainsaw, causing it to kick upward and strike him in the neck. A 60 year old man fell from a ladder in Tampa while cutting branches and died on the 14th. A 61 year old man also died on the 14th while cleaning up yard debris when a branch knocked the ladder out from under him, causing him to fall to the ground. In inland portions of Hillsborough County, winds from Hurricane Irma were estimated to be around 60-70 knots based on surrounding observations. Rainfall was generally around 6 inches or greater, with the highest rain total 7.62 inches at the COOP site PLCF1 in Plant City. The wind resulted in damage to numerous homes, as well as knocking over trees and power lines. Hillsborough County Emergency Management reported that 41 homes or businesses were destroyed, 130 sustained major damage, 166 had minor damage, and an additional 93 were affected by hurricane Irma throughout Hillsborough County. Heavy rains across the area also resulted in widespread river flooding, with rising water levels damaging houses on the Hillsborough River, the Alafia River, and the Little Manatee River in Hillsborough County. The total damage from Irma in Hillsborough County was estimated at $19.95 million, including $17.86 million in individual assistance claims and $2.09 million in public assistance claims, of which, $6.95 million was estimated to be caused by wind damage in inland portions of Hillsborough County. Additionally, crop damage to citrus plants in Hillsborough County was roughly estimated at $28.5 million.||Pinellas County - In Pinellas County, the highest winds reported from Hurricane Irma was a gust to 77 knots at Pier 60 Park. Rainfall was generally around 4 inches or greater, with the highest rain total 5.98 inches at the the GOES station BTRF1 in Tarpon Springs. The wind resulted in damage to numerous homes, as well as knocking over trees and power lines. Pinellas County Emergency Management reported that 77 homes or businesses were destroyed, 533 sustained major damage, 5761 had minor damage, and an additional 11,935 were affected by hurricane Irma throughout Pinellas County. The track of Irma resulted in a much stronger negative surge north of the eye, causing extremely low water levels in the Tampa Bay. No significant damage was reported from either the negative surge or the weak positive surge. The total damage from Irma in Pinellas County was estimated at $594.45 million, including $588.08 million in individual assistance claims and $6.37 million in public assistance claims, most of which was caused by wind damage. One indirect fatality was reported in Pinellas County from Hurricane Irma. A 53 year old man was repairing cable lines in Feather Sound on the 16th when he fell 20 feet from a ladder. The medical examiner ruled that heart disease was a contributing factor.||Pasco County - In coastal portions of Pasco County, winds from Hurricane Irma were estimated to be 60-70 knots based on surrounding observations. Rainfall was generally around 4 inches or greater, with the highest rain total 6.83 inches at the GOES site LWOF1 near Port Richey. The wind resulted in damage to numerous homes, as well as knocking over trees and power lines. The total damage from Irma in Pasco County was estimated at $860,000 in public assistance claims, including debris removal and emergency protective measures, of which, $200,0000 was estimated to be caused by wind damage in coastal portions of Pasco County. One indirect fatality was reported in Port Richey on the 8th when a 69 year old man evacuating ahead of Irma crashed into a tree.  In Inland Pasco County, winds from Hurricane Irma were estimated to be around 40-60 knots, with the highest wind reported was a gust to 48 knots at the WeatherFlow station XLOL in Land O' Lakes. Rainfall was generally around 6 inches or greater, with the highest rain total being 9.64 inches at the GOES station WRCF1 in Richland. The wind resulted in damage to numerous homes and businesses, as well as knocking over trees and power lines. The non-insured property damage in Pasco County was estimated at $10,303,487, including for debris removal and emergency protective measures.  Additionally, crop damage to citrus plants in Pasco County was roughly estimated at $7.3 million.||Hernando County - In coastal portions of Hernando County, winds from Hurricane Irma were estimated to be around 34 to 50 knots, with the highest wind reported being a gust to 36 knots at the WeatherFlow station XWKI in Weeki Wachee. Rainfall was generally around 5 inches or greater, with the highest rain total being 10.31 inches at a mesonet station near the Withlacoochee River at Trilby. The wind resulted in damage to numerous homes and businesses, as well as knocking over trees and power lines. Hernando County Emergency Management reported that 26 homes or businesses were destroyed by Irma, 45 sustained major damage, 103 had minor damage, and an additional 112 were affected. The total damage from Hernando County was estimated at $6.1 million, including $800,000 in individual assistance claims, and $5.3 million in public assistance claims. Roughly $500,000 of that was estimated to be caused by wind damage in coastal portions of Hernando County. In inland portions of Hernando County, winds from Hurricane Irma were estimated to be around 34 to 50 knots based on surrounding observations. Rainfall was generally around 6 inches or greater. The wind resulted in damage to numerous homes and businesses, as well as knocking over trees and power lines. Hernando County Emergency Management reported that 26 homes or businesses were destroyed by Irma, 45 sustained major damage, 103 had minor damage, and an additional 112 were affected throughout the county. The total property damage in Hernando County was estimated at $6.1 million, including $800,000 in individual assistance claims and $5.3 million in public assistance claims. Roughly $600,000 of that was estimated to be caused by wind damage in inland portions of Hernando County. Additionally, crop damage to citrus plants in Hernando County was roughly estimated at $600,000.||Citrus County - In coastal portions of Citrus County, winds from Hurricane Irma were estimated to be around 40 to 60 knots based on surrounding observations. Rainfall was generally around 5 inches or greater. The wind knocked over numerous trees and power lines throughout the county. The total damage from Hurricane Irma in Citrus County was estimated at $5.9 million in public assistance claims, including debris removal and emergency protective measures, roughly half of which was estimated to be for wind damage in coastal Citrus County. In inland portions of Citrus County, winds from Hurricane Irma were estimated to be around 40-60 knots, with the highest wind reported being a gust to 56 knots at the CWOP station D1496 in Beverly Hills. Rainfall was generally around 6 inches or greater, with the highest rain total being 18.65 inches at the CWOP station D1496 in Beverly Hills. The wind resulted knocked over numerous trees and power lines. The total damage from Hurricane Irma in Citrus County was estimated at $5.9 million in public assistance claims, including debris removal and emergency protective measures, roughly half of which was estimated to be for wind damage in inland Citrus County.||Sumter County - Winds from Hurricane Irma were estimated to be tropical storm force around 40-60 knots, with the highest wind reported being a gust to 53 knots at the CWOP station D5322 in The Villages. Rainfall was generally around 8 inches or greater, with the highest rain total being 11.34 inches at a mesonet station in Compressco. The wind resulted in damage to numerous homes and businesses, as well as knocking over trees and power lines. Sumter County Emergency Management reported that 5 homes or businesses were destroyed by Irma, 27 sustained major damage, and 688 had minor damage. The total damage in Sumter County was estimated at $19 million, which included $5 million in individual assistance claims, and $14 million in public assistance claims including debris removal and emergency protective measures.||Levy County - In coastal portions of Levy County, winds from Hurricane Irma were estimated to be around 34 to 50 knots, with the highest wind reported being a gust to 48 knots at the RAWS station SWNF1 near Yellow Jacket. Rainfall was generally around 4 inches or greater, with the highest rain total being 6.33 inches at a mesonet station in Yankeetown. The wind knocked down trees and power lines throughout the county. The total damage in Levy County was estimated at $260,000 in public assistance claims, including debris removal and emergency protective measures, half of which was estimated to be caused by wind damage in coastal Levy County. In inland portions of Levy County, winds from Hurricane Irma were estimated to be around 34 to 50 knots based on surrounding observations. Rainfall was generally around 5 inches or greater, with the highest rain total being 7.92 inches at the CoCoRaHS site FL-LV-9 in Chiefland. The wind knocked down numerous trees and power lines. The total damage in Levy County was estimated at $260,000 in public assistance claims, including debris removal and emergency protective measures, half of which was estimated to be caused by wind damage in inland Levy County.</t>
  </si>
  <si>
    <t>MAINLAND MONROE (ZONE)</t>
  </si>
  <si>
    <t>Official NWS Observations</t>
  </si>
  <si>
    <t>Satellite imagery and radar velocity data support wind speeds of 75 to 90 mph were sustained in Mainland Monroe county. Tree damage and storm surge was also evident via satellite imagery.</t>
  </si>
  <si>
    <t>Major Hurricane Irma made landfall in Southwest Florida on Marco Island as a Category 3 hurricane around 330 PM EDT on September 10th. The storm traveled north through southwest Florida through the evening. Effects from Irma were felt across South Florida from September 9th through September 11th. Irma had reached Category 5 strength and a minimum central pressure of 914 MB east of the Bahamas, maintaining Category 5 intensity until landfall along the north coast of Cuba on September 9th. Irma made its first Florida landfall in the Lower Florida Keys early on September 10th as a Category 4 hurricane. ||The strength and size of Hurricane Irma allowed for impacts to be felt across all of South Florida. Irma brought widespread wind damage, heavy rainfall and storm surge to all areas. Hurricane-force sustained wind were measured in much of Collier County, as well as far southern and inland Miami-Dade County, with the possibility of additional hurricane-force sustained wind in more isolated areas over the remainder of South Florida where widespread tropical storm force sustained wind occurred. Gusts to hurricane force were felt over all of South Florida, with the maximum measured wind gust of 142 mph in Naples in Collier County. Widespread tree damage and some structural damage occurred across all of South Florida, with most structural damage on the minor side.||Irma brought a significant storm surge on both coasts of South Florida. Storm surge of 6 to 8 feet was observed in the Everglades City and Goodland areas of Collier County, with 3 to 5 feet from Marco Island to Naples. Along the east coast, observed storm surge values of 4 to 6 feet were noted along Biscayne Bay from south of Miami to Homestead, and 2 to 4 feet elsewhere along the east coast from Key Biscayne to Palm Beach.||Hurricane Irma brought widespread rainfall and some flooding across the region. From the period between 8 AM EDT September 9th and 8 AM EDT September 11th, 8 to 15 inches of rain were measured over interior portions of Southwest Florida, with estimated amounts of 16 to 20 inches in southwestern Hendry County. This rainfall near the end of a wet summer led to significant flooding over these areas. 5 to 10 inches of rain were noted elsewhere across South Florida, with areas of minor to moderate flooding. ||32 deaths were attributed to Irma in southern Florida, all but one indirect. The only direct death was an 86-year-old man who was knocked down by a gust of wind while opening the front door of his home in Broward County. Most of the deaths occurred during cleanup after the storm, as well as several as a result of carbon monoxide poisoning from misuse of generators. Initial and incomplete damage estimate across the area is estimated to be around $800 million, but in all likelihood will be much higher once damage assessments are completed. $222.5 million in damage came in from Collier County, and about $300 million from Palm Beach County. About $255 million came from the agricultural community in Miami-Dade County.||Total number of people who were at county evacuation shelters were as follows: Miami-Dade County - 31,092, Palm Beach County - 17,263, Collier County - 17,040, Broward County - 17,000, Hendry County - 3,000||Total number of customers without power were as follows: Miami-Dade County - 888,530, Broward County - 689,000, Palm Beach County- 566,240, Collier County -  197,630, Hendry County - 9,700, Glades County - 1,670.</t>
  </si>
  <si>
    <t>FAR SOUTH MIAMI-DADE COUNTY (ZONE)</t>
  </si>
  <si>
    <t>Hurricane Irma produced maximum sustained winds of 60 to 75 mph across inland and far southern sections of Miami-Dade County, with a maximum sustained wind reading of 76 mph five miles southwest of Florida City. Wind gusts to hurricane force were observed across the entire area, with highest gust of 90 mph measured at Royal Palm Ranger Station in the Everglades. There was widespread damage to trees, fences and power poles, with limited damage to structures. Information on death toll, damage estimates, customers without power and people in evacuation shelters is contained in the event summary for Metropolitan Miami-Dade County.</t>
  </si>
  <si>
    <t>INLAND MIAMI-DADE (ZONE)</t>
  </si>
  <si>
    <t>Hurricane Irma produced maximum sustained winds of 60 to 75 mph across inland sections of Miami-Dade County, with a maximum sustained wind reading of 76 mph five miles southwest of Florida City. Wind gusts to hurricane force were observed across the entire area, with highest gust of 90 mph measured at Chekika in the Everglades. There was widespread damage to trees, fences and power poles, with limited damage to structures. Information on death toll, damage estimates, customers without power and people in evacuation shelters is contained in the event summary for Metropolitan Miami-Dade County.</t>
  </si>
  <si>
    <t>KEY</t>
  </si>
  <si>
    <t>Hurricane-force wind damage from Marathon and Key Colony Beach revealed significant roof covering loss and isolated roof truss damage on older design oceanfront homes.  Older retail stores and a strip mall displayed complete uplift and collapse of wood box truss structures, while modern design structures displayed significant sections of roof covering loss, including metal panel-over-wood sheathing and built-up tar/rubber coverings.  Some older service station canopies displayed column buckling whereas modern designs displayed only slight racking or minor fascia damage.  Significant roof panel damage to mobile homes over both older and modern design.  All traffic signal masts remained in place, however signals were blown up to 90 degrees out of alignment.  Peak wind gusts of 100 to 115 mph were attributed.  From Grassy Key through the City of Layton and Long Key, several sections of wall panel loss on metal building systems, damage to built-up and shingle roof coverings, vinyl siding, and plastic paneled signs were noted.  Peak wind gusts estimated at 90 to 100 mph were attributed.  Injuries estimated due to lack of operating hospitals or rescue services during the hurricane impact.</t>
  </si>
  <si>
    <t>Hurricane Irma made landfall over the Lower Florida Keys as a category 4 hurricane on the Saffir-Simpson Hurricane Wind Scale, with the eye crossing directly over Cudjoe Key.  Due to the large radius of hurricane-force winds, destructive hurricane-force winds and storm surge impacts all of the Florida Keys.  Extensive damage to residences, businesses, electric, water and communications utilities resulted.  The eye of Hurricane Irma moved ashore in the Lower Florida Keys over Cudjoe Key at 9:10 am EDT Sunday, September 10, with a minimum central pressure of 929 mb and maximum sustained winds near 115 knots (130 mph).  The highest sustained winds in the Lower Florida Keys were measured at 61 knots (70 mph) at the Key West Harbor, with a peak measured gusts at 120 mph at the Key Deer National Wildlife Refuge and a private residence on Big Pine Key.  Storm survey evidence estimated the highest 3-second wind gusts on Big Pine Key and Scout Key, at 150 to 160 mph.  Maximum storm surge in the Lower Florida Keys was measured at 5 to 8 feet from Sugarloaf Key through Duck Keys, with total water height reaching a maximum of 5 to 6 feet above ground level in eastern Big Pine Key, and wave wash marks up to 20 feet above mean high water along Long Beach Road on the south side of Big Pine Key.  Rainfall totals of 6 to 12 inches were measured at available rain gauges, with a maximum of 12.54 inches at the Key Deer Wildlife Refuge on Big Pine Key.  A total of 10 fatalities were attributed in the Florida Keys attributed to Irma, 4 directly related to hurricane impacts. More than 40 direct injuries were officially totaled across the entire Florida Keys.   More than 1300 vessels were damaged or destroyed, requiring removal from the coastal waters.  Additional information on number of residences and businesses damaged or destroyed is pending.  Financial damage estimates are also pending as costs related to business loss and community recovery are continuing to accrue.</t>
  </si>
  <si>
    <t>Hurricane force wind damage was observed as follows:  Roof panels and vinyl siding were stripped from mobile homes, with vinyl siding damage on single family residences.  One service station canopy was completely overturned, without discernible deformities in the columns nor foundation.  Peak wind gusts were estimated at 90 to 100 mph.  In Tavernier, modern design large metal building systems exhibited failure of overhead doors on east and southeast-facing sides, with older designs including some pulled off exterior sheet panels.  Peak gusts near 100 mph were estimated.  From Key Largo through Ocean Reef, limited losses of built-up roof coverings and metal fascia from gas station canopies was observed.  Some older strip malls in Key Largo exhibited large losses of shingle and barrel tile coveraings.  Peak wind gusts near 90 mph were estimated.  Injuries are estimated due to no hospitals operating nor rescue services during the hurricane impact.</t>
  </si>
  <si>
    <t>The eye of Hurricane Irma moved ashore in the Lower Florida Keys over Cudjoe Key at 9:10 am EDT Sunday, September 10, with a minimum central pressure of 929 mb and maximum sustained winds near 115 knots (130 mph).  The highest sustained winds in the Lower Florida Keys were measured at 61 knots (70 mph) at a NOAA National Ocean Service station at Key West Harbor, with a peak measured gusts at 120 mph at the Key Deer National Wildlife Refuge and a private residence on Big Pine Key.  Storm survey evidence of hurricane-force wind gusts include:  From Ohio, Missouri, Bahia Honda through Little Torch Keys, the strongest estimated winds were evident, possibly attributable to a mesoscale eyewall vortex circulation within the northeast quadrant of the eyewall.  A general path of of maximum wind damage occurred from the western end of Scout Key, just south of Big Pine Key Park, through Key Deer Boulevard north of South Street.  Complete roof structure failure involving snapped wood trusses was observed on several homes along with complete exterior wall failure on one waterfront home.  The path continued across Key Deer Boulevard where utility pole both of wood and hollow-spun concrete design were snapped with numerous spans lying in completely opposite directions.  The southern spans opposite to the direction of the mean wind.  Peak wind gusts were estimated 150 to 160 mph along the northern side of the apparent circulation.  Elsewhere across Big Pine Key, significant roofing loss and collapse of exterior walls on older mobile homes, large sections of roof coverings of all types, soffet damage and large metal roof, wall and door failures on modern metal building systems indicated more widespread estimated peak wind gusts of 120 to 130 mph.  From Ramrod Key through Sugarloaf Key, widespread business and residential roof covering damage of all types was observed, with isolated roof truss or gable end failures of older design.  It was noted a diagonal metal cross brace on an electric power transmission line across Niles Channel became detached from one vertical concrete column, indicative of significant deformation or flexing of the transmission towers.  Estimated peak wind gusts of 110 to 120 mph were attributed to this damage.  From Lower Sugarloaf Key through Big Coppitt Key, widespread small residential and business roof coverings with isolated structural gale end or overhang damage was noted especially in areas of open north wind exposure.  Isolated mobile home destruction including collapse of all walls was observed, although some modern mobile homes adjacent to properties with severe destruction exhibited few signs of cosmetic damage.  Estimated peak wind gusts 100 to 110 mph were attributed.  From Boca Chica Key through Key West, losses of roof coverings, soffet damage to residential homes and condominiums were noted, with two hotels exhibiting gable-end wood truss failures and sheathing of both mid-rise and two-story design.  Peak estimated wind gusts 90 to 100 mph were attributed, although the hotel mid-rise roof structure failure was in an area of open north wind exposure directly off the Gulf of Mexico may have indicated wind gusts in the 100 to 110 mph range.  Injuries estimated due to no operating hospitals nor rescue services available during the time of hurricane force wind impact.</t>
  </si>
  <si>
    <t>COASTAL COLLIER COUNTY (ZONE)</t>
  </si>
  <si>
    <t>Hurricane Irma produced maximum sustained winds near 115 mph at landfall in Marco Island and 80-100 mph across the rest of Coastal Collier County. Wind gusts were in excess of 100 mph, with a peak gust of 142 mph near Naples Regional Airport at 435 PM in association with the eastern eye wall. These winds produced major wind damage with at least 88 buildings destroyed and over 1,500 with major damage. Heavy tree and power pole damage, along with minor structural damage, was observed in areas affected by the eye wall. Post-storm survey revealed the likelihood of mini-vortices in the eastern eye wall causing enhanced tree and structural damage in Port of the Islands and Collier-Seminole State Park. A total of 197,630 customers lost power across all of Collier County.</t>
  </si>
  <si>
    <t>INLAND COLLIER COUNTY (ZONE)</t>
  </si>
  <si>
    <t>Hurricane Irma produced maximum sustained winds near 115 mph at landfall in Marco Island and 70-100 mph across most of Inland Collier County. Wind gusts were in excess of 100 mph over most areas, particularly in the western half of the county near the eye wall. Heavy tree and power pole damage, along with minor structural damage, was observed in areas affected by the eye wall. Post-storm survey revealed the likelihood of mini-vortices in the eastern eye wall causing enhanced tree and structural damage in the Orangetree and Corkscrew Swamp area. Total number of damaged structures,   damage estimates, death toll and customers without power are included in the Coastal Collier County entry.</t>
  </si>
  <si>
    <t>INLAND CHARLOTTE (ZONE)</t>
  </si>
  <si>
    <t>In inland portions of Charlotte County, winds from Hurricane Irma were estimated to be around 60 to 70 knots based on surrounding observations.  Rainfall was generally around 5 inches or greater, with the highest rain total being 9.76 inches at mesonet station at Whidden Properties (WHID) near the eastern border of Charlotte County. The wind resulted in damage to numerous homes, as well as knocking over trees and power lines. Charlotte County Emergency Management reported that 5 homes or businesses  sustained major damage and an additional 200 were affected by hurricane Irma throughout Charlotte County. ||The total property damage from Irma in Charlotte County was estimated at $43 million, including $3 million in individual assistance claims, and $20 million in public assistance claims including for debris removal and emergency protective measures, and $20 million due to 15 miles of sea wall that collapsed when the tide blew out. An estimated $100,000 of that damage was caused by wind damage in inland portions of Charlotte County. Additionally, crop damage to citrus plants in Charlotte County was roughly estimated at $15.9 million.</t>
  </si>
  <si>
    <t>INLAND LEE (ZONE)</t>
  </si>
  <si>
    <t>In inland portions of Lee county, the highest wind reported from Hurricane Irma was a gust to 77 knots at the ASOS at Southwest Florida International Airport during the late afternoon on the 10th. Rainfall was generally around 5 inches or greater, with the highest rain total being 11.59 inches at a mesonet site at the waste plant on Buckingham Road in Fort Myers. The wind resulted in damage to numerous homes, as well as knocking over trees and power lines, while heavy rain also causing flood damage to many homes. Lee County Emergency Management reported that 92 homes or businesses were destroyed by Irma, 2088 sustained major damage, 1721 had minor damage, and an additional 20426 were affected throughout Lee County. ||The total property damage from Irma in Lee County was estimated at $826.28 million in individual damage assessments, of which, $163.14 million was estimated to be caused by wind damage in inland portions of Lee County. Additionally, crop damage to citrus plants in Lee County was roughly estimated at $9.6 million.</t>
  </si>
  <si>
    <t>In DeSoto County, wind gusts from Hurricane Irma were estimated to be around 60 to 70 knots based on surrounding observations. Rainfall was generally around 6 inches or greater, with the highest rain total being 11.34 inches at the CoCoRaHS station FL-DS-1 in Arcadia. The wind resulted in damage to numerous homes, as well as knocking over trees and power lines.  ||Additional damaged occurred due to the high rain totals causing flooding on the Peace River and the Horse Creek. ||The total property damage from DeSoto County is unknown at this time. Additionally, crop damage to citrus plants in DeSoto County was roughly estimated at $71 million.</t>
  </si>
  <si>
    <t>In Highlands County, the highest wind reported from Hurricane Irma was a (3 second average) gust to 85 knots at Archbold Bio Station during the evening on the 10th.  Elsewhere, the AWOS in Sebring registered a 5 second average gust to 75 knots. Rainfall was generally around 5 inches or greater, with the highest rain total being 10.31 inches at the CoCoRaHS station FL-HL-13 in Sebring. The wind resulted in damage to numerous homes, as well as knocking over trees and power lines.  Highlands County Emergency Management reported that 144 homes or businesses were destroyed by Irma, 963 sustained major damage, 2408 had minor damage, and an additional 9623 were affected.||The total property damage from Highlands County was estimated at $360 million in individual assistance claims, most of which was estimated to be caused by wind damage. Additionally, crop damage to citrus plants in Highlands County was roughly estimated at $70 million.||There were four indirect fatalities from Irma in Highlands County. On the 9th, a 55 year old man fell off a ladder in Lake Placid while preparing his home. The man hit his head and died at a Tampa hospital on the 10th. A 56 year old man in Sebring collapsed while trimming trees on the 12th and died. The medical examiner determined that heart disease was the primary cause of death. A 62 year old man was found dead in his garage in Sebring on the 15th with a generator in the on position and out of gas. The medical examiner determined he died of carbon monoxide poisoning. A 23 year old man was electrocuted and died while trimming trees and clearing storm debris in Sebring on the 26th.</t>
  </si>
  <si>
    <t>COASTAL CHARLOTTE (ZONE)</t>
  </si>
  <si>
    <t>In coastal portions of Charlotte County, the highest wind reported from Hurricane Irma was a gust to 64 knots at the ASOS at Punta Gorda Airport during the early evening on the 10th.  Rainfall was generally around 5 inches or greater, with the highest rain total being 8.08 inches at the CoCoRaHS station FL-CH-13 in Port Charlotte. The wind resulted in damage to numerous homes, as well as knocking over trees and power lines. Charlotte County Emergency Management reported that 5 homes or businesses sustained major damage and an additional 200 were affected by hurricane Irma throughout Charlotte County.||The total property damage from Irma in Charlotte County was estimated at $43 million, including $3 million in individual assistance claims, and $20 million in public assistance claims including for debris removal and emergency protective measures, and $20 million due to 15 miles of sea wall that collapsed when the tide blew out.  An estimated $2.9 million was caused by wind damage in coastal portions of Charlotte County.</t>
  </si>
  <si>
    <t>COASTAL LEE (ZONE)</t>
  </si>
  <si>
    <t>In coastal portions of Lee county, the highest wind reported from Hurricane Irma was a gust to 73 knots at the ASOS at Fort Myers Page Field during the late afternoon on the 10th. Rainfall was generally around 4 inches or greater, with the highest rain total being 10.60 inches at the ASOS at Fort Myers Page Field. The wind resulted in damage to numerous homes, as well as knocking over trees and power lines, while heavy rain also caused flood damage to numerous homes.  Lee County Emergency Management reported that 92 homes or businesses were destroyed by Irma, 2088 sustained major damage, 1721 had minor damage, and an additional 20,426 were affected throughout Lee County. ||The maximum storm surge was 3.88 feet in Fort Myers at midnight EST on the 11th. Subtracting the astronomical tide of 0.04 feet, the maximum storm tide was calculated from the tide gauge as 3.28 feet MHHW 1436EST on the 11th.  ||The total damage from Irma in Lee County was estimated at $826.28 million in individual assistance assessments, of which, $163.14 million was estimated to be caused by wind damage in coastal portions of Lee County.||There was one direct fatality reported in Bonita Springs, when a 74 year old man fell down stairs near his home on the 11th. Due to the hurricane conditions, paramedics were not able to reach him for several hours, and he died on the 16th.</t>
  </si>
  <si>
    <t>INLAND SARASOTA (ZONE)</t>
  </si>
  <si>
    <t>In inland portions of Sarasota County, winds from Hurricane Irma were estimated to be around 60 to 70 knots using surrounding observations. Rainfall was generally around 5 inches or greater. The wind resulted in damage to numerous homes, as well as knocking over trees and power lines. Sarasota Emergency Management reported that 4 homes sustained major damage, 10 had minor damage, and 438 were affected. The total property damage from Irma in Sarasota County was estimated at $10.73 million, including $2.47 million in individual assistance claims and $8.26 million in public assistance claims.</t>
  </si>
  <si>
    <t>In Hardee County, the highest wind reported from Hurricane Irma was a gust to 69 knots at the Hardee County Emergency Operations Center in Wauchula. Rainfall was generally around 6 inches or greater, with the highest rain total being 10.58 inches at a mesonet station in Zolfo Springs. The wind resulted in damage to numerous homes, as well as knocking over trees and power lines. Hardee County Emergency Management reported that 10 homes or businesses were destroyed by Irma, 20 sustained major damage, 71 had minor damage, and an additional 59 were affected.||Additional damage occurred due to the high rain totals causing flooding on the Peace River. An EF-1 tornado was also found to have briefly touched down in Wauchula along US Highway 17 causing roof and power pole damage.||The total property damage from Hardee County was estimated at $3.32 million, of which, $1.64 million was estimated to be caused by wind damage. Additionally, crop damage to citrus plants in Hardee County was roughly estimated at $57.5 million.</t>
  </si>
  <si>
    <t>COASTAL SARASOTA (ZONE)</t>
  </si>
  <si>
    <t>In coastal portions of Sarasota County, the highest wind reported from Hurricane Irma was a gust to 70 knots at the home weather station AP859 in Sarasota during the evening on the 10th. Rainfall was generally around 4 inches or greater, with the highest rain total of 10.32 inches at the CWOP station C7986 in Laurel. The wind resulted in damage to numerous homes, as well as knocking over trees and power lines. Sarasota Emergency Management reported that 4 homes sustained major damage, 10 had minor damage, and 438 were affected. The total property damage from Irma in Sarasota County was estimated at $10.73 million, including $2.47 million in individual assistance claims and $8.26 million in public assistance claims. ||The total property damage from Irma in Sarasota County was estimated at $262.5 million, including $261.21 million in individual assistance claims and $1.29 million in public assistance claims, of which, $236 million was estimated to be caused by wind damage in coastal portions of Sarasota County.</t>
  </si>
  <si>
    <t>COASTAL MANATEE (ZONE)</t>
  </si>
  <si>
    <t>In coastal portions of Manatee County, winds from Hurricane Irma were estimated to be around 60 to 70 knots based on surrounding observations. The highest wind gust reported in coastal Manatee County was 61 knots at the ASOS at Sarasota Bradenton International Airport. Rainfall was generally around 5 inches or greater, with the highest rain total being 6.86 inches at the GOES station LWDF1 in Lake Ward. The wind resulted in damage to numerous homes, as well as knocking over trees and power lines. Manatee County Emergency Management reported that 14 homes or businesses were destroyed, 170 sustained major damage, 196 had minor damage, and an additional 2061 were affected by hurricane Irma throughout Manatee County. ||The total damage from Irma in Manatee County was estimated at $18.3 million in individual assistance claims, of which, $15.3 million was estimated to be caused by wind damage in coastal portions of Manatee County.||One direct fatality was reported in Manatee County when an 89 year old man told his wife he was going out to secure their boat to their dock during the storm and was later found unresponsive in the canal.</t>
  </si>
  <si>
    <t>INLAND MANATEE (ZONE)</t>
  </si>
  <si>
    <t>In inland portions of Manatee County, winds from Hurricane Irma were estimated to be around 60 to 70 knots based on surrounding observations.  Rainfall was generally around 4 inches or greater, with the highest rain total being 6.65 inches at the HADS station MKHF1. The wind resulted in damage to numerous homes, as well as knocking over trees and power lines. Manatee County Emergency Management reported that 14 homes or businesses were destroyed, 170 sustained major damage, 196 had minor damage, and an additional 2061 were affected by hurricane Irma throughout Manatee County. ||The total property damage from Irma in Manatee County was estimated at $18.3 million in individual assistance claims, of which, $3 million was estimated to be caused by wind damage in inland portions of Manatee County. Additionally, crop damage to citrus plants in Manatee County was roughly estimated at $23.5 million.</t>
  </si>
  <si>
    <t>In Polk County, the highest wind reported from Hurricane Irma was a gust to 75 knots at the APRS station AR663 near Bartow. Rainfall was generally around 6 inches or greater, with the highest rain total being 17.61 inches at the CWOP station E1114 in Davenport. The wind resulted in damage to numerous homes and businesses, as well as knocking over trees and power lines. Most notably, the wind removed a 7 story tall section of facade from the Winter Haven Senior Living Center. Polk County Emergency Management reported that 96 homes or businesses were destroyed by Irma, 1604 sustained major damage, 7710 had minor damage, and an additional 18537 were affected.||The total property damage from Polk County was estimated at $69 million in public assistance claims, including from debris removal and emergency protective measures, most of which coming from wind damage. Additionally, crop damage to citrus plants in Polk County was roughly estimated at $93.5 million.||One tornado was found to have touched down near Old Polk City Road near Lakeland, causing EF2 damage.||Three indirect fatalities were reported in Polk County from Irma. A 7 year old girl died from carbon monoxide poisoning on the 13th in Lakeland due to a gas generator being run indoors. A 63 year old man died in Winterhaven on the 13th while conducting post hurricane work on his home. The medical examiner listed the primary cause of death as heart disease. A 77 year old died in Lakeland on the 17th after he fell at an Assisted Living Facility.</t>
  </si>
  <si>
    <t>INLAND HILLSBOROUGH (ZONE)</t>
  </si>
  <si>
    <t>In inland portions of Hillsborough County, winds from Hurricane Irma were estimated to be around 60-70 knots based on surrounding observations. Rainfall was generally around 6 inches or greater, with the highest rain total 7.62 inches at the COOP site PLCF1 in Plant City. The wind resulted in damage to numerous homes, as well as knocking over trees and power lines. Hillsborough County Emergency Management reported that 41 homes or businesses were destroyed, 130 sustained major damage, 166 had minor damage, and an additional 93 were affected by hurricane Irma throughout Hillsborough County. ||Heavy rains across the area also resulted in widespread river flooding, with rising water levels damaging houses on the Hillsborough River, the Alafia River, and the Little Manatee River in Hillsborough County. ||The total damage from Irma in Hillsborough County was estimated at $19.95 million, including $17.86 million in individual assistance claims and $2.09 million in public assistance claims, of which, $6.95 million was estimated to be caused by wind damage in inland portions of Hillsborough County. Additionally, crop damage to citrus plants in Hillsborough County was roughly estimated at $28.5 million.</t>
  </si>
  <si>
    <t>COASTAL HILLSBOROUGH (ZONE)</t>
  </si>
  <si>
    <t>In coastal portions of Hillsborough County, the highest winds reported from Hurricane Irma was a gust to 79 knots at the WeatherFlow station XEGM at Egmont Key. Rainfall was generally around 5 inches or greater, with the highest rain total being 16.18 inches at the CWOP site D3252 in Tampa. The wind resulted in damage to numerous homes, as well as knocking over trees and power lines. Hillsborough County Emergency Management reported that 41 homes or businesses were destroyed, 130 sustained major damage, 166 had minor damage, and an additional 93 were affected by hurricane Irma throughout Hillsborough County. ||The track of Irma resulted in a much stronger negative surge north of the eye, causing extremely low water levels. A couple of manatees got beached in the mud, and there was a lot of media coverage showing people walking out into the dry part of the bay to rescue them. No significant damage was reported from either the negative surge or the weak positive surge.||The total damage from Irma in Hillsborough County was estimated at $19.95 million, including $17.86 million in individual assistance claims and $2.09 million in public assistance claims, of which, $7 million was estimated to be caused by wind damage in coastal portions of Hillsborough County.||Three indirect fatalities were reported in Hillsborough County from Hurricane Irma. A 55 year old man in Town N' Country was trimming a damaged tree with a chainsaw when a branch fell on the chainsaw, causing it to kick upward and strike him in the neck. A 60 year old man fell from a ladder in Tampa while cutting branches and died on the 14th. A 61 year old man also died on the 14th while cleaning up yard debris when a branch knocked the ladder out from under him, causing him to fall to the ground.</t>
  </si>
  <si>
    <t>In Pinellas County, the highest winds reported from Hurricane Irma was a gust to 77 knots at Pier 60 Park. Rainfall was generally around 4 inches or greater, with the highest rain total 5.98 inches at the the GOES station BTRF1 in Tarpon Springs. The wind resulted in damage to numerous homes, as well as knocking over trees and power lines. Pinellas County Emergency Management reported that 77 homes or businesses were destroyed, 533 sustained major damage, 5761 had minor damage, and an additional 11,935 were affected by hurricane Irma throughout Pinellas County. ||The track of Irma resulted in a much stronger negative surge north of the eye, causing extremely low water levels in the Tampa Bay. No significant damage was reported from either the negative surge or the weak positive surge.||The total damage from Irma in Pinellas County was estimated at $594.45 million, including $588.08 million in individual assistance claims and $6.37 million in public assistance claims, most of which was caused by wind damage.||One indirect fatality was reported in Pinellas County from Hurricane Irma. A 53 year old man was repairing cable lines in Feather Sound on the 16th when he fell 20 feet from a ladder. The medical examiner ruled that heart disease was a contributing factor.</t>
  </si>
  <si>
    <t>INLAND BAY (ZONE)</t>
  </si>
  <si>
    <t>Hurricane Michael started as typical weak October Caribbean tropical system. However, after approximately a week of slow development, the system moved into warm Gulf of Mexico waters and rapidly intensified into a major hurricane as it moved north towards the Florida Panhandle. After a 2-day long intensification period over the eastern Gulf, Michael made landfall as an unprecedented (for the region) high-end category 4 hurricane on the Saffir-Simpson Hurricane Wind Scale in the Florida Panhandle with maximum sustained wind speed of 155 mph and a minimum pressure 919 mb. Based on wind, Michael is the fourth most powerful hurricane to hit the United States, behind the Labor Day Hurricane (1935), Hurricane Camille (1969) and Hurricane Andrew (1992), and the most powerful storm to impact the Florida Panhandle in recorded history.  Based on central pressure, Michael is the third most powerful hurricane to hit the United States, behind only the Labor Day Hurricane (1935) and Hurricane Camille (1969).  The storm caused catastrophic damage from wind and storm surge, particularly in the Panama City Beach to Mexico Beach to Cape San Blas areas. The widespread catastrophic damage spread well inland as Hurricane Michael remained at category 3 strength into southwest Georgia.||One of the hardest hit locations was from Mexico Beach to Indian Pass where 9 to 14 feet of peak storm surge inundation was observed. In addition, wave action caused even higher total water values and this resulted in waves destroying the second story of multiple buildings in Mexico Beach.||At St. Joseph Peninsula State Park on Cape San Blas, the storm surge cut through the peninsula, creating two inlets, resulting in portions of the park no longer being accessible by vehicle. These new inlets truly demonstrate the power of storm surge.||While preliminary peak storm surge inundation was slightly less east of Indian Pass, values were still life-threatening and caused significant damage. Along the coast, portions of U.S. 98 and Alligator Drive were washed out and had to be patched/repaved. In Carrabelle, water was high enough to enter a restaurant, resulting in damage to furniture. In addition, numerous homes along the coast were destroyed or damaged as water slammed against the structures.||In addition to the life-threatening storm surge, structural damage was extensive particularly across the Florida Panhandle. Preliminary data assessments indicate almost 50,000 structures were affected across the Florida Panhandle, western Big Bend, southwest Georgia and southeast Alabama. Of these, more than 3,000 structures were destroyed. Homes and businesses were not the only structures impacted. The Hurricane Michael Preliminary Virtual Assessment Team (P-VAT) report from the Structural Extreme Event Reconnaissance Network indicated that two hospitals in Bay County, Bay Medical Sacred Heart and Gulf Coast Regional Medical Center also sustained significant damage. One hospital had glass crack and cladding stripped off the building while the other hospital had issues with power and water. Tyndall Air Force Base (AFB), that experienced the eye of Hurricane Michael, experienced catastrophic damage with every building on base experiencing some roof damage. A nearby elementary school had a portion of its roof ripped off. During the height of the storm, before the transmission stopped, a sensor at Tyndall AFB measured a gust to 139 mph.||The wind damage was not confined to the coastline, but extended well inland. In Marianna, businesses lost their roofs and the exterior wall of some buildings collapsed as the roof was lost. In Donalsonville, GA, where a 115 mph gust was measured, roof damage was also observed and at least one silo was flipped over. Even in Albany, GA, signs were blown down and roofs were peeled off buildings.||In addition to extensive structural damage, hurricane force winds caused widespread power outages across a large portion of the tri-state region. Nearly 100% of customers across a large portion of the Florida Panhandle lost power, with some of these outages lasting weeks. These widespread power outages extended into southwest Georgia with 100% of customers losing power all the way up to Lee County, GA!||Property damage estimates were still being calculated at the time of this publication and will likely rise further from what is indicated here.  However, one estimate of insured losses from the state of Florida alone was as high as $4.2 billion with an additional $5 billion in damage to Tyndall AFB.||The catastrophic winds also resulted in damage to the timber and agricultural communities across Florida and Georgia. According to the Florida Forest Service, in Florida, timber damage costs estimates were over $1.2 billion dollars with almost 3 million acres of forested land damaged. In addition to damage costs, replanting in the more severely damaged areas could be an addition $240 million. This damage also has impacts to the wildfire potential with additional forest fuels from downed trees.   According to Florida Commissioner of Agriculture Adam Putnam, the state suffered nearly $1.5 billion in agricultural damages due to Michael. The estimated damages were as follows: Forestry $1.3 billion, Cotton $49.9 million, Cattle $43.3 million, Peanuts $23 million, Nurseries and Floriculture $16.1 million, Poultry and Eggs $10 million, Vegetables $8.6 million, Other Field Crops $7.3 million, Dairy $6.4 million, Aquaculture $5 million, Fruit $4.4 million, Tree Nuts $4.1 million, and Apiary $2 million. ||In Georgia, 2,368,226 acres of forestland was impacted by Hurricane Michael. The estimated value of this land is $762,683,909. Catastrophic damage was mainly confined to Seminole, Decatur and Miller Counties with severe damage extending into Dougherty and Terrell Counties.  Additional crop damage occurred in Georgia to cotton, vegetables, pecans, poultry, peanuts, and timber.  According to Georgia Agriculture Commissioner Gary Black, estimated damages were as follows:  Cotton $300-$900 million, Vegetables $480 million, Pecans $560 million, Poultry $25 million, Peanuts $10-$20 million, and Timber $1 billion.||Inland flooding associated with Hurricane Michael across the tri-state region was limited as the hurricane quickly tracked across the area. A maximum rainfall total of 6.84 inches was observed near Crossroads, GA (Quitman County) with the second highest amount for the region recorded in Calhoun County, FL with 6.66 inches. With these higher rainfall amounts isolated, only a few areas of inland flooding were observed. In Bay County, record flooding was observed on the Econfina Creek at State Road 20 with 26.17 feet (NAVD88). This resulted in the SR-20 bridge being overtopped. In addition, in Calhoun County, FL, moderate flooding occurred on the Chipola River near Altha. A few homes were impacted downstream from the gauge and significant damage was sustained to the fish camps along the river.  There were no recorded tornadoes across the Florida Panhandle, Big Bend, southwest Georgia or southeast Alabama associated with Hurricane Michael.||In terms of direct fatalities, the following information is available.  There were 7 direct fatalities in the Florida panhandle and 1 direct fatality in southwest Georgia.  ||1. 44 year old male - Gadsden County - died due to trauma following a tree falling on a home (wind).|2. 67 year old male - Jackson County - tree collapsed on mobile home and roof collapsed on deceased (wind).|3. 87 year old male - Bay County - house was swept away during the storm and body was found three blocks from the house (surge).|4. 79 year old female - Bay County - found in Mexico Beach - moved by storm surge (surge).|5. 60 year old female - Bay County - found in Mexico Beach - move by storm surge and found in the rubble - complications from surge and wind (given location, went with surge).|6. 65 year old male - Bay County - found in Mexico Beach rubble - moved by storm surge (surge).|7. 70 year old male - Gulf County - found in debris in Cape San Blas - was fleeing in truck - ruled a drowing (surge).|8.  11 year old female ï¿½ï¿½ï¿½ Seminole county, GA.  Carport crashed through roof (wind).||In terms of indirect fatalities, there were 43 indirect fatalities across the Florida panhandle.  ||1. 71 year old male - Gadsden County - unable to receive dialysis treatment due to the storm (medical).|2. 78 year old male - Liberty County - chest pain and shortness or breath, EMS was unable to respond, pronounced dead at the scene several hours later (medical).|3. 55 year old male - Liberty County - tree fell on victim as he was attempting to remove it (accident).|4. 72 year old female - Leon County - sepsis due to exposure to floodwaters (medical).|5. 82 year old male - Franklin County - Injured himself while attempting to manually open the garage door while under generator power (accident).|6. 28 year old male - Bay County - diabetic who was not checking his blood sugar and did not have anywhere to store his insolin (medical).|7. 64 year old male - Bay County - collapsed while working in his yard after the storm (medical).|8. 43 year old male - Bay County - collapsed while working in his yard to secure his property after the onset of the strong winds (medical).|9. 61 year old male - Bay County - had a stroke and was found in the yard (medical).|10. 52 year old male - Bay County - unable to access dialysis due to power outage/transportation (medical).|11. 79 year old female - Bay County - complicated medical history which required use of powered devices but no power or generator (medical).|12. 81 year old male - Bay County - complicated medical history which requried use of powered devices but not power or generator (medical).|13. 77 year old male - Bay County - found in home after storm (medical).|14. 91 year old male - Bay County - tied anchor to ankle and committed suicide in water (suicide).|15. 78 year old male - Bay County - found sitting on back porch after the storm (suicide).|16. 68 year old male - Bay County - complicated medical history, no power and generator was sabotaged, found on porch (medical).|17. 67 year old male - Bay County - medical conditions which required use of powered respiratory devices but no power (medical).|18. 70 year old male - Bay County - used generator near the window while sleeping (carbon monixide).|19. 64 year old male - Bay County - tree fell on decedent (accident).|20. 94 year old female - home health less accessible, no power (medical).|21. 60 year old male - Bay County - tree fell on decendent (accident).|22. 64 year old male - Bay County - walked into traffic while residing at a storm shelter (suicide).|23. 63 year old male - Bay County - out of town utility worker that collapsed at work (medical).|24. 49 year old male - Gulf County - tree fell on decendent (accident).|25. 67 year old male - Jackson County - natural disease, no power (medical).|26. 61 year old male - Jackson County - natural disease, no power (medical).|27. 91 year old male - Jackson County - tree fell on decedent (accident).|28. 52 year old male - Washington County - utility worker struck by motor vehicle while working (auto accident).|29. 60 year old male - Washington County - utility worker struck by motor vehicle while working (auto accident).|30. 22 year old male - Washington County - utility worker struck by motor vehicle while working, transported to AL hospital where he was pronounced dead (auto accident).|31. 93 year old male - Washington County - became unresponsive while eating at a storm shelter and died as a result of diabetes and other conditions (medical).|32. 21 year old male - Gulf County - worked for a tree service and a tree fell on him during clean-up (accident).|33. 47 year old female - Calhoun County - went to mother in law's house during the storm, was depressed, died of fentanyl toxicity (accident).|34. 63 year old male - Liberty County - was removing a tree and it fell on him (accident).|35. 48 year old male - Wakulla County - Collapsed while traveling to the Panhandle to assist with evacuations during Hurricane Michael (medical).|36. 58 year old male - Leon County - tree fell on him during cleanup in the Defuniak Springs/Chipley area (accident).|37. 87 year old female - Leon County - fell from a standing height in Georgia, transported to hospital in Leon County where she passed (accident).|38. 55 year old male - Bay County - yard held water and deceased was going back and forth from the stairs, fell - was intoxicated and drowned in six inches of water (accident).|39. 39 year old male - Liberty County - was getting field ready to replace scoreboard that was damaged by the hurricane; electrocuted and killed when his forklift touched powerlines (accident).|40. 41 year old female - Liberty County - died trying to rescue husband (above) who was electrocuted (accident).|41. 51 year old male - Bay County - fell while working on a ladder.|42. 57 year old male - Jackson County - fell through a skylight while working on a roof.|43. 42 year old male - Bay County - fell through the roof while working.</t>
  </si>
  <si>
    <t>INLAND GULF (ZONE)</t>
  </si>
  <si>
    <t>COASTAL BAY (ZONE)</t>
  </si>
  <si>
    <t>COASTAL GULF (ZONE)</t>
  </si>
  <si>
    <t>ESCAMBIA COASTAL (ZONE)</t>
  </si>
  <si>
    <t>CST-6</t>
  </si>
  <si>
    <t>Hurricane Sally made landfall in Gulf Shores, AL at 5am on Wednesday, September 16th as a strong Category 2 hurricane with maximum sustained winds of 105 mph. Sally produced widespread wind, storm surge, and freshwater flooding across coastal AL and the western Florida Panhandle. Flood and wind damage also extended well inland into inland southwest Alabama and south central Alabama. Sally was an extremely slow moving hurricane, which prolonged and exacerbated the local impacts. The storm was moving at less than 5 mph at the time of landfall, resulting in a long duration of tropical storm and hurricane force winds, storm surge, and torrential rainfall. ||Storm surge and resultant damage was widespread and significant from Baldwin County eastward to Okaloosa County. The highest surge occurred in the bays and sounds of Alabama and the western Florida Panhandle, with generally lower values and lesser impacts on the immediate Gulf facing shores. A peak inundation of 7 to 9 feet above ground level was officially surveyed across some locations in the back bays and sounds of southeast Baldwin County, as well as the northern end of Escambia and Blackwater Bays. A larger area was impacted by 3 to 6 feet of inundation, including along the immediate Gulf facing shores. It should be noted that the extremely heavy rainfall (more details to follow) likely exacerbated the total water levels, although it is difficult to determine the exact extent. Regardless, thousands of structures along coastal areas were flooded by the surge. ||Wind damage was extensive across the region, especially in areas that experienced the eyewall of Sally over a several hour duration. Wind damage was most extensive from southeast Mobile County eastward across Baldwin County AL into Escambia County FL. These locations experienced prolonged hurricane conditions with wind gusts over 100 mph, especially close to the immediate coast. Many homes across the area suffered roof damage from the winds and an untold number of homes were damaged by fallen trees. The tree damage was most extensive in Baldwin County, but also significant in parts of Mobile and Escambia Counties which experienced hurricane conditions. The pecan farms of Baldwin County took a major hit with well over a thousand pecan trees downed throughout the county.||The very slow movement of Sally resulted in rainfall totals of 15 to 30 inches across Baldwin County into the western Florida Panhandle. 7 to 15 inches of rain fell across parts of inland southwest Alabama, along and east of Interstate 65, and south central Alabama. This torrential rain resulted in major river and flash flooding, especially in Baldwin County eastward into the Florida Panhandle. Thousands of water rescues were conducted during the storm due to rapidly rising water and many homes were flooded. Road closures were extensive, especially in Baldwin County east into the western Florida Panhandle and some roads were damaged or washed out. Several rivers reached moderate to major flood stage and some crested within the top 5 of their historical crests. ||There were 3 direct fatalities as a result of Sally. One fatality occurred in the Wolf Bay area (Baldwin County AL.) Two men were riding the storm out on their boat and at some point during the storm attempted to swim to shore. One of the men made it to a pier and was rescued and hospitalised; the other man drowned. The second fatality occurred on Innerarity Point, FL (Escambia County FL) where a 45 year old woman drowned when the vehicle she was driving was overtaken by the incoming storm surge. The third fatality occurred in Perdido Key, FL (Escambia County FL) when a 27 year old man drowned trying to retrieve a boat that was swept away by the surge and high surf. ||There were also 3 indirect fatalities. One was due to storm cleanup in the Foley, AL area with two others (one in both Baldwin County and Escambia County FL) due to carbon monoxide poisoning from improper generator use.||The total reported damage from Public Assistance (PA) and Individual Assistance (IA) is near $550 million. Note that this does not include insured losses and damages. Also, not all county reports were available or finalized at the time of this publication. A breakdown of costs related to each individual hazard was unavailable. All damages are listed under either the Hurricane or Tropical Storm hazard, but it should be noted that a good portion of the damage was caused by storm surge or flooding even though it is not explicitly listed. ||Timber loss was extensive. The Alabama Forestry Commission estimates that 2,440 forested acres were damaged with 79,175 tons of timber destroyed at a value of $1,564,160. Most of this occurred in Baldwin County. ||A study by the University of Florida estimates that total agricultural losses in the western Florida Panhandle ranged from $55 to $100 million.||Here is a breakdown of county by county impacts:||Mobile County AL: The greatest impact of Sally in Mobile County was to Dauphin Island, which was impacted by the western eyewall of Sally for a long duration. Hurricane force winds with gusts over 100 mph were recorded on the island. Winds were out of the north, which resulted in the bay and sound side of the island being the most impacted. Several buildings experienced roof and siding damage, including to two buildings on the campus of the Dauphin Island Sea Lab. Another home on the island lost its roof entirely. A 3 to 4 foot storm surge on the north side of the island resulted in major damage to docks and piers, including at the Dauphin Island marina. Across mainland Mobile county, the southern and central portions of the county experienced a long duration of sustained tropical storm force winds with hurricane force wind gusts recorded all the way west at the Mobile Regional Airport. In fact, the 82 mph gust recorded at the airport was almost as high as the peak gust recorded in Hurricane Katrina of 83 mph. Numerous trees and power lines were downed across the county, especially in central and southern parts of the county. This resulted in widespread power outages. Mobile's Bienville Square suffered major damage to the numerous oaks in the area and there was minor damage reported at some businesses in downtown Mobile. Several homes in the county also experienced roof, siding, and fence damage. Downed trees also damaged some homes. ||Baldwin County AL: The county experienced widespread damage as the eye of Sally moved across a large portion of the county after making landfall in Gulf Shores, AL. A large|storm surge resulted in widespread inundation and major flood damage to structures along the back bay waters with little to no structural damage to buildings along the Gulf facing beaches. There was a walkway at the Cotton Bayou Gulf access that was damaged. The greatest surge occurred east of Gulf Shores across Orange Beach to the Florida State line and all the way north into the northern portion of Perdido Bay, as well as Wolf Bay. Peak inundation was surveyed to be 7 to 9 feet above ground with a much larger area that experienced 3 to 6 feet of inundation. Surge values neared 10 feet above ground at the far western end of Cotton Bayou in Orange Beach. Numerous large boats were moved onto land by the surge. Almost all piers were destroyed and several marinas were heavily damaged. The Gulf State Park Pier in Gulf Shores was also majorly damaged with a large section of the pier now missing. The 20 to 30 inches of rain that fell across the southern part of the county certainly compounded the storm surge flooding and also resulted in widespread flash flooding and river flooding. The Fish and Styx Rivers reached major flood stage and experienced their third and second highest crests respectively. The eyewall of Sally resulted in widespread and extensive damage to trees and power lines. Most of southern Baldwin county experienced sustained hurricane force winds of 75 to 85 mph with gusts over 100 mph. A sailboat anchored in Ingram Bayou measured a 1 minute sustained wind of 113 mph with a gust to 137 mph. These measurements were recorded at an elevated 58 feet. When reduced to the standard measuring height 33 feet, the sustained wind is estimated to have been 104 mph with a gust to 126 mph. The Center of Severe Weather Research recorded a 123 mph gust on the east side of the Perdido Pass bridge from an anemometer on their mobile doppler radar unit with sustained winds of 93 mph. Numerous structures were damaged by fallen trees and many structures in the county suffered significant roof and siding damage. In Ft. Morgan, a few older homes were destroyed and a boat storage facility at a marina suffered major damage. Almost all of the county lost power during the storm due to substantial damage to the power infrastructure. The pecan farming industry took a devastating hit as likely over a thousand pecan trees were destroyed across the county. There were three fatalities from the storm, one direct and two indirect. A person drowned in Orange Beach during the storm. Another fatality occurred in Foley during the post storm clean up and another individual died due to carbon monoxide poisoning from a generator.||Escambia County FL: A combination of strong wind and storm surge resulted in widespread damage to Escambia County. To date, 1,756 structures were damaged. 44 structures were destroyed and 629 suffered major damage. Hurricane force winds resulted in siding and roof damage to many structures, with downed trees also playing a large role in damage to some structures. Power outages were widespread. Pensacola NAS recorded sustained hurricane force winds with gusts of 92 mph. A large storm surge impacted the county, with the highest surge occurring in the Perdido Key area and along portions of Pensacola and Escambia Bays. Peak inundation of 7 to 9 feet above ground level was surveyed across the northern portions of Pensacola, Escambia, and Blackwater Bays. The tidal gauge at the Port of Pensacola measured an inundation of 5.6 feet, the third highest surge ever recorded (Ivan and the 1926 hurricane are #1 and #2.) Numerous structures had significant damage from storm surge inundation. Numerous large boats and barges were moved onto land by the surge. A portion of the Three Mile bridge across Pensacola Bay collapsed due to damage from the barges. The vast majority of the storm surge structural damage occurred along the back bays and sounds and not along the immediate Gulf facing beaches. However, significant damage occurred along the Gulf islands national seashore, particularly in the Johnson Beach and Ft. Pickens area. On Johnson Beach, the surge and wave action took out a large portion of the first line of dunes with damage even noted to some of the second line dunes. 4 to 5 ft of sand covered Johnson Beach road with damage to the road itself. Noaa aerial imagery indicates that 3 new cuts were created on the far east side of Johnson Beach. The surge along the Gulf side of Perdido Key was also significant (7-9 feet) as the water line encroached upon the entrance of some of the condos and damaged walkways and pools. The copious amounts of rain (15-30 inches) also compounded the storm surge issue as water that normally would drain into area bays, rivers, creeks, and streams had nowhere to go due to the incoming storm surge. Downtown Pensacola was one notable area hard hit by this fresh water flooding, but countless other locations, especially across central and southern Escambia county, were also hard hit by this flooding. There were 3 reported fatalities, two direct and one indirect. One person died while trying to retrieve a boat during the storm and another person died while kayaking during the storm. One person died after the storm due to carbon monoxide from a generator being run indoors.||Santa Rosa County, FL: A large storm surge had its greatest impact on the sound and bay|sides of Santa Rosa county. The largest surge occurred in the northern half of Escambia Bay as well as in Blackwater and East Bay. Peak surge inundation reached 7 to 9 feet above ground level. Numerous homes suffered significant inundation from the surge. The surge flooding was compounded by 20+ inches of rain that fell which also resulted in significant to major flash flooding and river flooding. Hurricane force wind gusts also resulted in roof and siding damage to many homes, extensive downed trees, and power lines. To date, around 1,400 residential structures have been identified as being impacted with 6 being destroyed and 139 suffering major damage. 19 commercial buildings have been documented as being impacted with major damage to 4 buildings. ||Okaloosa County, FL: A long duration of tropical storm force winds impacted Okaloosa County as the center of Hurricane Sally tracked very slowly to the east and north of the county. Significant storm surge impacted coastal areas, especially in western parts of Okaloosa county closer to the Santa Rosa line. Many homes on the sound side of the Mary Esther area were inundated by the surge flooding. Portions of Highway 98 on Okaloosa Island were breached by the surge flooding, however the road was not damaged. A 2 ft seawall was breached in Ft. Walton Beach with 2 to 3 ft of water covered adjacent portions of Highway 98. Walkovers and beach side docks were displaced on the Gulf side. A few restaurants and homes suffered some flooding along Calhoun avenue, likely from a combination of the torrential rainfall and storm surge. The copious rainfall also resulted in flash flooding and major river flooding, which also flooded homes in the county.||Escambia County, AL:|Widespread trees were downed throughout Escambia county, AL. Some of the trees fell onto homes, but most of the damage was minor. However, 4 homes suffered major damage from the fallen trees. At the peak of the event, 85% of the county was without power. Torrential rainfall|of 10 to 20 inches led to flash flooding and river flooding, resulting in the 10 county roads becoming impassable during the storm. Some of the roads suffered wash outs. A couple of bridges experienced wash outs as well.||Covington County, AL:|Five homes suffered wind damage as tropical storm force winds impacted Covington county. Trees and power lines were downed which resulted in some power outages. Numerous roads were flooded and impassable. Several roads also suffered wash outs due to the extensive flooding.|||Crenshaw County, AL: Tropical storm force wind gusts downed some trees and power lines in|the county. Significant flooding also occurred, especially in the southern half of the county. Numerous roads were impassable and some experienced washouts.||Monroe County, AL: Tropical storm conditions downed numerous trees and power lines|across Monroe county.||Clarke County, AL:  Tropical storm force winds downed trees across Clarke county. One tree|fell onto a home in Grove Hill, resulting in significant damage.||Conecuh County, AL: Tropical storm force winds downed trees and power lines in Conecuh County.||Butler County, AL:  Tropical storm conditions downed trees and power lines across portions of Butler county. A few homes suffered minor damage from fallen trees. Scattered power outages were reported. A few roads were flooded from heavy rain.</t>
  </si>
  <si>
    <t>ESCAMBIA INLAND (ZONE)</t>
  </si>
  <si>
    <t>Mesonet</t>
  </si>
  <si>
    <t>Wind gusts of 100-110 mph were measured at about 100-150 feet above ground level over western Collier county at the Naples Grande Resort, at Kalea Bay, and at Naples Municipal Airport. Peak near-surface wind gusts were likely in the 80-90 mph range. Wind damage was mainly confined to trees/fences/screens, with minor wind damage to vulnerable structures. ||Estimated highest number of customers without power was 201,095 as of 3 PM on September 29th. ||Reported damage estimate for the entire county is $2.2 billion, which includes storm surge-related damage. Of that, $1.7 billion is to residential properties and $492 million to commercial properties. A total of 33 buildings were destroyed, with 3,515 residential and commercial buildings suffering major damage. Breakdown of damage amount by|City/area: unincorporated Collier County $948 million, city of Naples $989|Million, Marco Island $256 million, Everglades City $7.1 million.</t>
  </si>
  <si>
    <t>A tropical depression formed in the central Caribbean Sea on September 23rd, then was upgraded to Tropical Storm Ian at 11 PM on September 23rd. Ian moved westward, then turned northwest on September 25th, passing just west of Jamaica and near the Cayman Islands. Ian became a hurricane on Monday, September 26th south of western Cuba, then moved north and made landfall in Pinar Del Rio Province, Cuba early on Tuesday, September 27th as a Category 3 hurricane with maximum sustained winds of 125 mph. ||Ian moved into the SE Gulf of Mexico around midday on Tuesday, September 27th, then moved over Dry Tortugas as a Category 3 hurricane later that evening. Ian strengthened over the SE Gulf of Mexico as it approached Southwest Florida, becoming a Category 4 hurricane at 7 AM on Wednesday, September 28th with maximum sustained winds of 155 mph and a lowest central pressure of 936 mb. Ian moved N-NE and made landfall in Cayo Costa west of Fort Myers at 3:05 PM on Wednesday, September 28th with maximum sustained winds of 150 mph and minimum central pressure of 940 mb. ||Ian moved NE across the central Florida peninsula during the evening and night of Wednesday, September 28th, finally being downgraded to a tropical storm about 20 miles west of Melbourne at 5 AM Thursday, September 29th. Ian moved off the east coast of Florida just north of Cape Canaveral during the mid-morning hours of Thursday, September 29th. ||Ian produced a catastrophic storm surge across coastal sections of SW Florida on Wednesday, September 28th. Storm surge from surveys was estimated in the 8-11 ft range above MHHW along the Gulf beaches from Naples north to Barefoot Beach, and extending inland about 1 mile. Storm surge of 4-7 ft above MHHW was surveyed in the Naples Bay area and extending north to the Naples Airport area, as well as in North Naples near the Cocohatchee River. Farther south and east along the coast, storm surge values were estimated at 5-7 feet above MHHW in Marco Island and Goodland, and 4-6 ft MHHW in Everglades City and Chokoloskee.||Wind gusts as high as 110 mph were measured in the Naples area at heights well above the standard surface elevation of 33 feet. Sustained winds in the 70-75 mph range likely occurred in NW Collier County as well as far western sections of Hendry and Glades counties. Elsewhere across South Florida, peak winds were generally in the 45-70 mph range. ||A total of 13 reported tornadoes were spawned by Ian on Tuesday, September 27th and early on Wednesday, September 28th as it was approaching the SW Florida coast, the strongest being an EF-2 in the Delray Beach area of Palm Beach County. ||Storm total rainfall amounts from 8 AM on September 26th to 8 AM on September 29th ranged from 4 to 10 inches across southern Florida. The highest rainfall amounts occurred in the day or two leading up to the storm's landfall, with highest values over western metro Broward County in the 8-10 inch range, as well as in parts of the city of Miami.||All of the associated effects of Ian in southern Florida resulted in 10 fatalities, at least 2 injuries, $2.2 billion in property damage, and at least $500,000 in crop damage. The vast majority of the damage was likely caused by the significant to major storm surge in Collier County. Of the 10 deaths, 2 were directly caused by the storm surge in Collier County, and the remaining 8 were indirectly caused by the storm during evacuation, preparation, and clean-up activities. The 13 associated tornadoes resulted in 2 injuries an estimated $2.5 million in property damage.||Six people were injured at South Pointe Pier Park on Miami Beach on September 30th by large waves caused by swells from the back side of Ian.</t>
  </si>
  <si>
    <t>Measured wind gusts over interior sections of Collier County were around 70 mph in the Immokalee area, but it is likely that higher winds up to 90 mph occurred as the center of Ian passed just north of the area. Maximum sustained winds were probably right at the threshold of hurricane force (74 mph). Lower wind speeds occurred farther south and east in the county. Wind damage was mainly confined to trees/fences/screens, with minor wind damage to vulnerable structures. ||Estimated highest number of customers without power was 201,095 as of 3 PM on September 29th. ||Damage estimates are included in the coastal Collier County event narrative.</t>
  </si>
  <si>
    <t>OSCEOLA (ZONE)</t>
  </si>
  <si>
    <t>Hurricane Ian's slow movement and large wind field led to a long period of tropical storm force winds, with gusts to hurricane force in squalls, across Osceola County. Scattered reports of trees and power lines downed, as well as generally minor damage to roofs, awnings, fences, and pool enclosures due to strong winds, which surface observations indicated peaked between 65 and 75 mph. A 72-year-old male died in an Osceola County hospital days after after falling from a ladder as he tried to prepare his Haines City home in advance of the storm (indirect). A 41-year-old female died in an Osceola County hospital days after falling in her home when she became disoriented due to a missed medical appointment due to the storm (indirect). A 81-year-old female died from a heart attack in an Osceola County hotel where she was displaced due to flooding from the storm (indirect). A 95-year-old male died from a heart attack in an Osceola County hotel where he was displaced due to flooding from Ian (indirect).</t>
  </si>
  <si>
    <t>After making landfall as a major hurricane in southwest Florida near Cayo Costa, Ian crossed the peninsula and into east central Florida (southern Osceola County) as a Category 1 Hurricane with estimated maximum sustained winds of 75 mph. The system was downgraded to a tropical storm shortly thereafter and emerged into the Atlantic Ocean near Cape Canaveral. Ian's slow movement and large wind field led to a long period of tropical storm force winds across all of east central Florida, as well as hurricane force gusts in squalls and historic rainfall and flooding across parts of the area. Widespread rainfall totals of 4 to 8 inches were reported throughout the area, with a corridor of 10 to 20 inches across Osceola, Orange, Seminole, Volusia, and northern Brevard counties. The maximum observed rainfall total was 21.09 inches in Spruce Creek, Volusia County. The St. Johns River experienced historic rises with record crests set at Astor, Deland, Sanford, and Lake Harney in the days and weeks following Ian's heavy rainfall. A tornado briefly touched down and crossed US-192 in rural Brevard County with no damage to structures reported. Persistent onshore flow before and during the storm led to water level rises (storm surge) of 1-3 feet along the east central Florida, bringing moderate to severe beach erosion, with the most significant effects noted in Volusia County. Collectively, the effects of Hurricane Ian led to 15 storm-related fatalities (6 direct and 9 indirect) and between $800-900M in property damage across east central Florida.</t>
  </si>
  <si>
    <t>OKEECHOBEE (ZONE)</t>
  </si>
  <si>
    <t>Hurricane Ian's slow movement and large wind field led to a long period of tropical storm force winds, with hurricane force gusts in squalls, in Okeechobee County. Emergency management officials reported trees and power lines downed, as well as some damage to roofs, awnings, fences, and pool enclosures due to strong winds, which surface observations indicated peaked between 65 and 75 mph. A county damage assessment indicated 45 structures affected, 113 with minor damage, 35 with major damage, and 2 destroyed due to strong winds. The combined effects of Hurricane Ian led to a total estimated damage of approximately $1.4M. No storm related deaths were reported by the county.</t>
  </si>
  <si>
    <t>The highest wind reported in Lee County from Hurricane Ian was a gust to 140 mph at a weatherSTEM station at the Cape Coral yacht club at 4:20 PM EST on September 28. Catastrophic damage was caused by the storm surge that most severely affected coastal areas. Surveys indicate a maximum storm surge near 15 feet near the northwest part of Fort Myers Beach, with widespread 10 to 12 feet of inundation across parts of Fort Myers, Fort Myers Beach and Bonita Beach, with all of Fort Myers Beach and Bonita Beach experiencing 6 to 8 feet of inundation. The peak recorded water level of 7.26 feet above MHHW at Fort Myers along the Caloosahatchee River at 5:30 PM EST on September 28 surpassed the previous record of 3.36 feet above MHHW, set during Hurricane Gabrielle in 2001. Structures on barrier islands were washed away, and causeways and bridges partially collapsed or were heavily damaged. Rainfall generally ranged from 5 to 10 inches with a maximum of 9.82 inches reported south of Charlotte Park. Lee County emergency management reported over 50,000 buildings damaged, of which 5,369 were destroyed, 14,245 received major damage, 16,314 received minor damage, and another 17,871 were affected. Preliminary damages totaled $6.8 billion. There were 60 fatalities directly attributed to Hurricane Ian by the medical examiner.</t>
  </si>
  <si>
    <t>Hurricane Ian formed in the central Caribbean Sea on September 23 and moved through the western Caribbean Sea, Gulf of Mexico and Western Atlantic making four separate landfalls. The first landfall was in the Pinar Del Rio Province of Cuba at 0830 UTC on September 27 with maximum sustained winds of 125 mph and a minimum pressure of 952 mb, before emerging into the Gulf of Mexico later that morning. Ian made its second landfall -- and first in Florida -- at 1905 UTC (2:05 PM EST) on September 28 near Cayo Costa with maximum sustained winds of 150 mph and a pressure of 940 mb, before making its third landfall -- and second in Florida -- less than 2 hours later at 2035 UTC (3:35 PM EST) just south of Punta Gorda, near Pirate Harbor with maximum sustained winds of 145 mph and a pressure of 942 mb. Ian made its fourth and final landfall in South Carolina on September 30 at 1805 UTC with maximum sustained winds of 85 mph and a pressure of 977 mb.||County-by-County Impacts||Lee County - The highest wind reported in Lee County from Hurricane Ian was a gust to 140 mph at a weatherSTEM station at the Cape Coral yacht club at 4:20 PM EST on September 28. Catastrophic damage was caused by the storm surge that most severely affected coastal areas. Surveys indicate a maximum storm surge near 15 feet near the northwest part of Fort Myers Beach, with widespread 10 to 12 feet of inundation across parts of Fort Myers, Fort Myers Beach and Bonita Beach, with all of Fort Myers Beach and Bonita Beach experiencing 6 to 8 feet of inundation. The peak recorded water level of 7.26 feet above MHHW at Fort Myers along the Caloosahatchee River at 5:30 PM EST on September 28 surpassed the previous record of 3.36 feet above MHHW, set during Hurricane Gabrielle in 2001. Structures on barrier islands were washed away, and causeways and bridges partially collapsed or were heavily damaged. Rainfall generally ranged from 5 to 10 inches with a maximum of 9.82 inches reported south of Charlotte Park. Lee County emergency management reported over 50,000 buildings damaged, of which 5,369 were destroyed, 14,245 received major damage, 16,314 received minor damage, and another 17,871 were affected. Preliminary damages totaled $6.8 billion. There were 60 fatalities directly attributed to Hurricane Ian by the medical examiner.||Charlotte County - The highest wind reported in Charlotte County from Hurricane Ian was a gust to 111 mph near Grove city at 3:26 PM EST on September 28. Rainfall generally ranged from 5 to 10 inches over the eastern half of the county, to 15 to 25 inches across western and coastal locations, where an event-maximum total of 26.95 inches was reported near Grove City. Initial assessments reported over 200 homes destroyed; however, assessments remain ongoing, with additional structures likely damaged or destroyed. There were 8 fatalities directly attributed to Hurricane Ian by the medical examiner.||Sarasota County - The highest wind reported in Sarasota County from Hurricane Ian was a gust to 109 mph at Tarpon Point at 12:56 PM EST on September 28. Rainfall generally ranged from 8 to 12 inches over the northern third of the county, to 15 to 20 inches across central and southern locations, where a maximum total of 21.45 inches was reported northeast of Northport. The Myakka river at Myakka River State Park reached a record level of 12.84 feet on October 1 at 11:45 PM EST, and area flooding prompted closure of Interstate 75 and offramps near heaviest affected flooding locations. There were 8 fatalities directly attributed to Hurricane Ian by the medical examiner.||Manatee County - The highest wind reported in Manatee County from Hurricane Ian was a wind gust to 86 mph at the Sarasota Bradenton international airport at 5:10 PM EST on September 28. Rainfall generally ranged from 5 to 10 inches over the western half of the county, to 10 to 15 inches across eastern and southeastern locations, where a maximum total of 15.03 inches was reported east of Myakka Head. The Manatee River near Myakka Head reached its second highest crest of 19.33 feet on September 29 at 6:45 AM EST, and at Rye bridge reached its third highest stage of 17.19 feet on September 29 at 5:30 AM EST. A new record low water level was set at Port Manatee where the observed minimum of -2.39 feet below MLLW at 5:02 PM EST on September 28 surpassed the previous minimum of -2.03 feet below MLLW on January 3, 2008. Initial damage estimates were $1.1 billion as 10 homes and businesses were destroyed, 287 received major damage, 891 received minor damage, with a total of over 2,700 structures affected. There were 4 fatalities directly attributed to Hurricane Ian by the medical examiner.||Hillsborough County - The highest wind reported in Hillsborough County from Hurricane Ian was a gust to 75 mph at Tampa International Airport at 5:12 PM EST on September 28, along with a gust to 88 mph measured over Tampa Bay. Rainfall generally ranged between 5 and 8 inches, with a maximum total of 5.45 inches near Sun City Center. The Little Manatee River near Wimauma reached its 10th highest level of 17.65 feet at 9:45 PM EST on September 29. Multiple record low water levels were set around Tampa Bay; East Bay established a new minimum of -5.67 feet below MLLW at 6:42 PM EST on September 28, surpassing the record set during Hurricane Irma in 2017, and Old Port Tampaï¿½ï¿½ï¿½s minimum of at least -2.88 feet below MLLW surpassed the previous record of -2.27 feet below MLLW set on December 15, 2004. It should be noted that the minimum water level at Old Port Tampa was lower than the official observed value; however, the station equipment ran dry preventing further measurement. Total damages are estimated at $54.8 million. There were 3 fatalities directly attributed to Hurricane Ian by the medical examiner.||Pinellas County - The highest wind reported in Pinellas County from Hurricane Ian was a gust to 77 mph in Saint Petersburg at 3:46 PM EST on September 28. Rainfall generally ranged between 1.5 and 4 inches, with a maximum total of 3.34 inches at Albert Whitted Airport. 31 homes received major damage and another 86 reported minor damage. Offshore winds caused below normal tides of 4 feet on the gulf side of barrier islands, and up to 5 feet below normal in Tampa Bay near St. Petersburg, where the minimum reported water level of -3.94 feet below MLLW at 2:12 AM EST surpassed the previous minimum of -3.72 feet below MLLW, set during Hurricane Irma in 2017.||DeSoto County - The highest wind estimated in DeSoto County were gusts between 70 and 110 mph, although scarce instrumentation limited verifiable data. Rainfall generally ranged from 5 to 10 inches across the southeastern third of the county, to 10 to 20 inches across the northwestern two thirds of the county, with a maximum total of 17.59 inches near Pine Level. The Peace River in Arcadia reached a record high level of 23.7 feet at 6 AM EST on October 1, closing parts of highways 17, 70, and 72 near Arcadia. Horse Creek near Arcadia reached a record flood level of 21.24 feet at 4 AM EST on September 29. There was one fatality directly attributed to Hurricane Ian by the medical examiner.||Hardee County - The highest wind reported in Hardee County from Hurricane Ian was an 81 mph wind gust in Wauchula at 11:20 PM EST on September 29. Rainfall generally ranged from 15 to 20 inches, with a maximum total of 20.13 inches near Zolfo Springs. The Peace River in Zolfo Springs reached a record flood stage of 27.24 feet at 4:30 PM EST on September 29. 18 structures were destroyed, 114 received major damage, 367 received minor damage, and 337 were affected with another 88 inaccessible. There were 9 fatalities reported by the medical examiner, with 4 directly attributed to Hurricane Ian.||Highlands County - The highest wind reported in Highlands County was a gust to 78 mph at the Sebring Regional Airport at 8:15 PM EST on September 28. Rainfall generally ranged from 5 to 10 inches, with a maximum total of 7.2 inches near Lake Josephine; however, radar estimates indicated 10 to 15 inches over the northwest corner of the county. A tornado was reported near Lake Placid, with a possible tornado near downtown Sebring. ||Polk County - The highest wind reported in Polk County was a gust to 78 mph in Bartow at 1:58 AM EST on September 29. Rainfall generally ranged from 6 to 12 inches, with a maximum total of 12 inches reported in Frostproof.  The Peace River in Bartow reached its third highest stage on record at 10.8 feet at 6 AM EST on October 2. 192 structures received major damage, 789 received minor damage, with another 1500 structures affected. There were 2 fatalities directly attributed to Hurricane Ian by the medical examiner. ||Sumter County - In Sumter County, maximum winds were estimated between 50 and 65 mph in gusts. Rainfall generally ranged from 2 to 4 inches, with a maximum total of 3.42 inches near Lady Lake. Minor flooding was reported in low-lying areas near Webster. Minor damage to homes was reported in The Villages.||Pasco County - In Pasco County, maximum winds were estimated between 50 and 65 mph in gusts. Rainfall ranged from 1 to 3 inches, with a maximum total of 2.89 inches near Dade City. Offshore winds caused below normal tides of 3 to 4 feet. Damage was mostly minor and limited to shingles and downed trees.||Hernando County - In Hernando County, maximum winds were estimated between 50 and 65 mph in gusts. Rainfall ranged from 1 to 3 inches, with a maximum total of 1.57 inches near Brooksville. Offshore winds caused below normal tides of 3 to 4 feet.||Citrus County - In Citrus County, maximum winds were estimated between 50 and 65 mph in gusts. Rainfall ranged from 1 to 3 inches, with a maximum total of 1.34 inches near Inverness. Offshore winds caused below normal tides of 3 to 4 feet.||Levy County - In Levy County, maximum winds were estimated between 40 and 50 mph in gusts. Rainfall was generally an inch or less. Offshore winds caused below normal tides of 3 to 4 feet, and Cedar Key observed its 3rd lowest water level of -3.59 feet below MLLW at 9:48 PM EST on September 28.</t>
  </si>
  <si>
    <t>Highest winds occurred in western Hendry county in the LaBelle area where sustained winds probably reached the threshold of hurricane force for a brief time, with gusts of at least 80 mph. Maximum wind gusts across eastern sections of the county were in the 60-70 mph range. ||Estimated highest number of customers without power is 10,588. 29th. Estimated damage total is $419,000. A total of 112 structures were damaged, most in the western part of the county. ||The Florida Department of Law Enforcement confirmed two indirect deaths from the storm: a 72-year old male from a heart attack while outside during the peak of the storm and could not be reached by paramedics due to dangerous conditions, and a 29-year-old male who was shot dead by another person after an argument. The victim was a contractor who had been sent to the area to help with relief efforts.</t>
  </si>
  <si>
    <t>Highest winds over Glades County occurred over western and northern sections of the where sustained winds likely reached the threshold of hurricane force, with gusts of least 80 mph. Maximum wind gusts were in the 60-70 mph range over eastern sections of the county. ||Estimated highest number of customers people without power is 5,696. Damage assessment: 3 structures destroyed, 14 with major damage, and 25 with minor damage. Two (2) homes were severely damaged from a tornado in Moore Haven.</t>
  </si>
  <si>
    <t>The highest wind reported in Sarasota County from Hurricane Ian was a gust to 109 mph at Tarpon Point at 12:56 PM EST on September 28. Rainfall generally ranged from 8 to 12 inches over the northern third of the county, to 15 to 20 inches across central and southern locations, where a maximum total of 21.45 inches was reported northeast of Northport. The Myakka river at Myakka River State Park reached a record level of 12.84 feet on October 1 at 11:45 PM EST, and area flooding prompted closure of Interstate 75 and offramps near heaviest affected flooding locations. There were 8 fatalities directly attributed to Hurricane Ian by the medical examiner.</t>
  </si>
  <si>
    <t>The highest wind reported in Charlotte County from Hurricane Ian was a gust to 111 mph near Grove city at 3:26 PM EST on September 28. Rainfall generally ranged from 5 to 10 inches over the eastern half of the county, to 15 to 25 inches across western and coastal locations, where an event-maximum total of 26.95 inches was reported near Grove City. Initial assessments reported over 200 homes destroyed; however, assessments remain ongoing, with additional structures likely damaged or destroyed.</t>
  </si>
  <si>
    <t>The highest wind reported in Lee County from Hurricane Ian was a gust to 140 mph at a weatherSTEM station at the Cape Coral yacht club at 4:20 PM EST on September 28. Catastrophic damage was caused by the storm surge that most severely affected coastal areas. Rainfall generally ranged from 5 to 10 inches with a maximum of 9.82 inches reported south of Charlotte Park. Lee County emergency management reported over 50,000 buildings damaged, of which 5,369 were destroyed, 14,245 received major damage, 16,314 received minor damage, and another 17,871 were affected. Preliminary damages totaled $6.8 billion.</t>
  </si>
  <si>
    <t>The highest wind reported in Sarasota County from Hurricane Ian was a gust to 109 mph at Tarpon Point at 12:56 PM EST on September 28. Rainfall generally ranged from 8 to 12 inches over the northern third of the county, to 15 to 20 inches across central and southern locations, where a maximum total of 21.45 inches was reported northeast of Northport. The Myakka river at Myakka River State Park reached a record level of 12.84 feet on October 1 at 11:45 PM EST, and area flooding prompted closure of Interstate 75 and offramps near heaviest affected flooding locations.</t>
  </si>
  <si>
    <t>The highest wind reported in Manatee County from Hurricane Ian was a wind gust to 86 mph at the Sarasota Bradenton international airport at 5:10 PM EST on September 28. Rainfall generally ranged from 5 to 10 inches over the western half of the county, to 10 to 15 inches across eastern and southeastern locations, where a maximum total of 15.03 inches was reported east of Myakka Head. The Manatee River near Myakka Head reached its second highest level of 19.33 feet on September 29 at 6:45 AM EST, and at Rye bridge reached its third highest level of 17.19 feet on September 29 at 5:30 AM EST. A new record low water level was set at Port Manatee where the observed minimum of -2.39 feet below MLLW at 5:02 PM EST on September 28 surpassed the previous minimum of -2.03 feet below MLLW on January 3, 2008. Initial damage estimates were $1.1 billion as 10 homes and businesses were destroyed, 287 received major damage, 891 received minor damage, with a total of over 2,700 structures affected. There were 4 fatalities directly attributed to Hurricane Ian by the medical examiner.</t>
  </si>
  <si>
    <t>The highest wind reported in Charlotte County from Hurricane Ian was a gust to 111 mph near Grove city at 3:26 PM EST on September 28. Rainfall generally ranged from 5 to 10 inches over the eastern half of the county, to 15 to 25 inches across western and coastal locations, where an event-maximum total of 26.95 inches was reported near Grove City. Initial assessments reported over 200 homes destroyed; however, assessments remain ongoing, with additional structures likely damaged or destroyed. There were 8 fatalities directly attributed to Hurricane Ian by the medical examiner.</t>
  </si>
  <si>
    <t>The highest wind reported in Hardee County from Hurricane Ian was an 81 mph wind gust in Wauchula at 11:20 PM EST on September 29. Rainfall generally ranged from 15 to 20 inches, with a maximum total of 20.13 inches near Zolfo Springs. The Peace River in Zolfo Springs reached a record flood level of 27.24 feet at 4:30 PM EST on September 29. 18 structures were destroyed, 114 received major damage, 367 received minor damage, and 337 were affected with another 88 inaccessible. There were 9 fatalities reported by the medical examiner, with 4 directly attributed to Hurricane Ian.</t>
  </si>
  <si>
    <t>The highest wind estimated in DeSoto County were gusts between 70 and 110 mph, although scarce instrumentation limited verifiable data. Rainfall generally ranged from 5 to 10 inches across the southeastern third of the county, to 10 to 20 inches across the northwestern two thirds of the county, with a maximum total of 17.59 inches near Pine Level. The Peace River in Arcadia reached a record high level of 23.7 feet at 6 AM EST on October 1, closing parts of highways 17, 70, and 72 near Arcadia. Horse Creek near Arcadia reached a record flood level of 21.24 feet at 4 AM EST on September 29. There was one fatality directly attributed to Hurricane Ian by the medical examiner.</t>
  </si>
  <si>
    <t>COASTAL INDIAN RIVER (ZONE)</t>
  </si>
  <si>
    <t>Hurricane Nicole's extensive wind field led to a period of tropical storm force winds and hurricane force wind gusts and heavy rain in Indian River County. Scattered reports of trees downed and some minor structural damage due to strong winds, which surface observations indicated peaked between 65 and 75 mph along the coast, and 50 to 60 mph across inland areas. No storm-related fatalities were reported by county officials.</t>
  </si>
  <si>
    <t>Hurricane Nicole made landfall near Vero Beach, Florida as a Category 1 Hurricane on Thursday, November 10, 2023 with estimated maximum sustained winds of 75 mph. The system was originally classified as a subtropical storm after forming several hundred miles east of the Bahamas before it gained tropical characteristics as it approached Grand Bahama and Abaco Island. The interplay between Nicole and an expansive area of high pressure over the eastern United States produced a large wind field of tropical storm force over the western Atlantic, with a long northeast fetch that stretched over 1000 miles. These onshore winds generated very large seas in excess of 30 feet offshore, which over multiple unusually high tide cycles, led to moderate to severe beach erosion across east central Florida. Damage to coastal structures was extensive, particularly across Volusia County where an already weakened shoreline due to Hurricane Ian succumbed to the long-duration high surf event. Two indirect storm-related fatalities were reported in Orange County.</t>
  </si>
  <si>
    <t>INLAND INDIAN RIVER (ZONE)</t>
  </si>
  <si>
    <t>NORTHERN BREVARD BARRIER ISLANDS (ZONE)</t>
  </si>
  <si>
    <t>Hurricane Nicole's extensive wind field led to a period of tropical storm force winds and hurricane force wind gusts and heavy rain in Brevard County. Scattered reports of trees downed and some minor structural damage due to strong winds, which surface observations indicated peaked between 65 and 75 mph along the coast, and 55 to 65 mph across inland areas. No storm-related fatalities were reported by county officials.</t>
  </si>
  <si>
    <t>MAINLAND SOUTHERN BREVARD (ZONE)</t>
  </si>
  <si>
    <t>INLAND NORTHERN BREVARD (ZONE)</t>
  </si>
  <si>
    <t>MAINLAND NORTHERN BREVARD (ZONE)</t>
  </si>
  <si>
    <t>SOUTHERN BREVARD BARRIER ISLANDS (ZONE)</t>
  </si>
  <si>
    <t>INLAND SOUTHERN BREVARD (ZONE)</t>
  </si>
  <si>
    <t>Approximately 13,393 residents, or 97% lost power. Numerous trees and power lines were downed along the north side of U.S. 98 from two to five miles west of Perry. A transformer was lying on the side of the road. In Perry itself, a gas station canopy and pump island were toppled over and a few home and out buildings were damaged.</t>
  </si>
  <si>
    <t>Hurricane Idalia made landfall on the morning of August 30th along the coast of Taylor County Florida near Keaton Beach at approximately 745 am EDT. The hurricane made landfall with estimated sustained winds of 125 mph, making it a Category 3 hurricane on the Saffir-Simpson Hurricane Wind Scale, the first major hurricane on record to make landfall in this portion of Florida. Hurricane Idalia moved inland across the eastern Florida Big Bend and into South Central Georgia during the morning hours. Strong winds caused extensive damage to trees, buildings, and infrastructure along a broad swath stretching west to Tallahassee and east beyond the Suwannee River. Significant and devastating storm surge accompanied the hurricane into the Taylor and Dixie County coasts, where water levels rose considerably, inundating numerous structures along the coast and flooding residences and businesses many miles inland. Significant damage to property and infrastructure was associated with the storm surge that will take a considerable time to rebuild. The peak surge values observed were from Dekle Beach in Taylor County southeastward to Horseshoe Beach in Dixie County. Surge heights in this area along the immediate coast were within the range of 7 to 12 feet above normally dry ground. Lower values of up to 6 feet above normally dry ground were noted south of Horseshoe Beach near the community of Suwannee. It should also be noted the storm made landfall around the time of low tide. Had the storm made landfall 6 hours later, around the time of high tide, peak water level values could have been between 3-4 feet higher.  In the process of the high water mark surveys, interviews were conducted with several residents that lived in the area during the Storm of the Century, a non-tropical system that affected this portion of the Florida coastline on March 13, 1993. All of these residents interviewed from Keaton Beach to Horseshoe Beach indicated water levels that rivaled or exceeded those experienced in the 1993 ï¿½ï¿½ï¿½Storm of the Century.ï¿½ï¿½ï¿½ Moreover, Dixie County Emergency Management noted that the inland extent of the storm surge from Hurricane Idalia moved much further inland from Horseshoe Beach than observed in The Storm of the Century. One direct fatality occurred in south-central Georgia as a result of the storm.||Damage estimates from Florida include $216.1 million spread over 21,525 insurance claims as of late September. An additional $447.9 million in agricultural losses was estimated by the Florida Department of Agriculture and Consumer Services. The following 16 counties in Florida were declared disasters by FEMA: Citrus, Columbia, Dixie, Gilchrist, Hamilton, Hernando, Jefferson, Lafayette, Levy, Madison, Manatee, Pasco, Pinellas, Sarasota, Suwannee, and Taylor.  The agricultural losses were divided in the following ways:  $93.6 million for field crops, $2.6 million for Fruits (non-citrus) and tree nuts, $68.8 million for greenhouse/nurseries, $157.6 million for animals and animal products (includes cattle, poultry, aquaculture and dairy), $60.6 million for vegetables and melons, and $64.7 million for forestry.</t>
  </si>
  <si>
    <t>COASTAL DIXIE (ZONE)</t>
  </si>
  <si>
    <t>Significant power outages occurred across Dixie county due to hurricane force winds from Idalia.  Approximately 9389 residents lost power, or about 88% of customers.</t>
  </si>
  <si>
    <t>INLAND DIXIE (ZONE)</t>
  </si>
  <si>
    <t>SUWANNEE (ZONE)</t>
  </si>
  <si>
    <t>Suwannee was one of the most heavily impacted counties as the eyewall of Idalia crossed over during the|morning hours of 8/30. Extensive tree and structure damage was observed county-wide, especially west of|State Road 51 toward the Suwannee River. A rare Extreme Wind Warning product was issued by the NWS|Jacksonville as the eyewall of Major Hurricane strength moved across the county during the morning.|There were barns, carports and other out-buildings destroyed with major roof loss and damage along 221st|Road and along 148th Street. Peak winds in this area were estimated at 75-90 mph with gusts to near 100|mph. Additional damage occurred just west of the Suwannee River along 233rd Road and 225th Road where|trees and structures were damaged. One large, newly constructed farm building was completely destroyed|along 225th Road just south of 136th Street where peak winds were estimated between 75 to 90 sustained|with gusts possibly to 110 mph. Likely the loss of this structure was due to the large door being blown in and|allowing winds to damage supports inside the structure. Dowling Park suffered some of the worst damage|where peak sustained winds were estimated between 80-90 mph with gusts to 100 mph. There were a|couple of locations with damage caused by 75-80 mph winds with gusts near 90 mph based on structural|assessment along and near County Road 252. Five to six wood utility poles along Highway 250 snapped near|the ground suggest peak gusts in a very small area may have reached to 110 mph close to the Suwannee|River. Roofs were heavily damaged and lifted with loss of roofing material and there was loss of HVAC roof|equipment. Widespread tree damage and power line was observed. Numerous pine trees were snapped|and travel trailers were blown over near the intersection of Interstate 10 and Highway 129. Power was out. A|carport was flipped over and a power line was blown down in McAlpin. Several outbuildings were rolled over|along Ohio Avenue North (US Highway 129) and 72nd Terrace in Live Oak. Live Oak itself suffered|widespread tree damage, with large live oaks uprooted and pine trees snapped. Structure siding, roofs,|carports and covered walkways were heavily damaged. Power lines were blown down. Numerous large oak|trees were blown down across Highway 90.|At 0720, a mesonet site at the Suwannee County Airport about 2 miles WNW of Live Oak measured a wind|gust of 44 mph. A mesonet site at Suwannee Pineview Elementary measured a wind gust of 41 mph at 0850.|At 0920, the mesonet site at the Suwannee County Airport measured a wind gust of 52 mph. At 0940, the|mesonet site at the Suwannee County Airport had a 53 mph wind gust. At 0950, a mesonet site in Suwannee|Springs measured a wind gust of 60 mph.</t>
  </si>
  <si>
    <t>Hurricane Idalia made landfall Wednesday morning August 30th around 745 AM EDT along the|Florida Big Bend near Keaton Beach as a category 3, with the inner core moving NE across the|Suwannee River Valley. The inner wind core of Idalia gradually weakened through the morning while,|heavily impacting Suwannee and Hamilton counties in NE Florida and Echols county SE Georgia as the|circulation tracked NE. Widespread tree, power line and structure damage occurred across Suwannee and Hamilton counties, with estimated winds of 80-100 mph based on damage surveys with isolated pockets of peak wind gusts near major hurricane strength. Outer rainbands on the eastside of Idalia|impacted all of SE Georgia and NE FL through the day, with early morning tornadoes across coastal SE Georgia and widespread tropical cyclone wind gusts through the day causing tree damage and powerline damage at least somewhere across NE Florida and SE Georgia. Measured gusts during the peak of the hurricane across the local forecast area were 60-80 mph. Flooding rainfall impacted locations in the direct path of the weakening inner core across the Suwannee River Valley and southeast Georgia,|especially from eastern Hamilton county toward Baxley and Jesup GA. The peak rainfall amounts were up to 5-8 inches. At least 3 tornadoes occurred in southeast GA as rainbands swept northwestward ahead of the hurricane.</t>
  </si>
  <si>
    <t>HAMILTON (ZONE)</t>
  </si>
  <si>
    <t>Hamilton County was heavily impacted by Hurricane Idalia in the morning and early afternoon as the eyewall|crossed the western tier of the county. Extensive countywide wind damage occurred. NWS Storm Survey|results estimated peak winds of 80-90 mph with gusts near 100 mph just north of the Suwannee River State|Park in the SW portion of the county where hardwood trees were damaged along SW County Road 143 .|Outbuildings, barns and trees were damaged along State Road 6 West from County Road 141 to I-75. There|was total destruction of buildings along State Road 6 including that of a MBS building that had the concrete|anchors pulled out of the ground suggesting an estimated wind gust of 110 to 115 mph at this location|between NW Poe Trail and SWS County Road 751. A tree fell on a home along 48th Avenue about 2 miles|WNW of West Lake and injured one person inside. Near where the Alapaha and Suwannee Rivers meet in|SW Hamilton county, winds of 70-80 mph with gusts near 100 mph were assessed where quail houses with|about 20,000 quail in each were destroyed.|At 0750 on 8/30, a mesonet station in Suwannee Springs measured a wind gust of 40 mph. At 0830, a|mesonet site 3 miles SSE of Jasper measured a wind gust of 48 mph. At 0850, a mesonet site in Hamilton|Crossroads (SW portions of the county) measured a wind gust of 42 mph. At 0910, the same mesonet site|had a gust of 50 mph, then at 0920 a gust of 53 mph. At 0930, the mesonet site in Suwannee Springs (6 NE)|measured a wind gust of 50 mph. At 0950, the Hamilton Crossroads mesonet site measured a wind gust of|79 mph (this was the highest recorded gust in the county for the event). At 0952, the county emergency|management (EM) team reported a tree was blown down onto a home and trapped residents inside at 303|Bristol Avenue SW in Jasper. At the same time, the EM reported at least one home in Jasper had the roof|blow off. At 1020, a mesonet site 5 miles SW of Belmont had a wind gust of 57 mph. At 1100, the Hamilton|County EM office measured a wind gust of 53 mph. At 1240, a mesonet site at the Boys Ranch measured a|wind gust of 40 mph.</t>
  </si>
  <si>
    <t>Widespread damage to trees and power lines occurred with 99% of the county losing power.</t>
  </si>
  <si>
    <t>Approximately 11,467 residents, or nearly 100% lost power. Nearly all roads were closed at one point. Property damage occurred county-wide.</t>
  </si>
  <si>
    <t>There were many downed trees and power lines.</t>
  </si>
  <si>
    <t>Hurricane Debby made landfall along the Taylor County coast as a Category 1 Hurricane on the morning of Monday August 5th. In addition to storm surge flooding along the FL Big Bend coast, around 12 inches of rainfall lead to widespread flooding in Madison and Taylor counties. In particular, rainfall in Southeast Madison County corresponded to a 0.2% annual chance occurrence or a 500 year flood event. Long duration areal flooding occurred in southeast Madison county for around 3 weeks. Flooding also occurred along portions of the Aucilla, Fenholloway, Steinhatchee and Withlacoochee rivers. Tropical storm force winds also led to power outages in the Florida Big Bend and South-Central Georgia. There were two direct fatalities from trees falling on homes in Dixie County, Florida and Moultrie, Georgia. Two indirect fatalities also occurred in Dixie County due to a traffic accident. The highest water marks measured by a survey team from FDEM were around 3 feet AGL in Horseshoe Beach. The University of Florida estimated that agriculture losses across Florida were between $93.7 million and $263.2 million, including crops, livestock, aquaculture, and animal products.</t>
  </si>
  <si>
    <t>Numerous trees and power lines were blown down across the county.</t>
  </si>
  <si>
    <t>Numerous trees and power lines were blown down across the county.  A trained spotter estimated winds of 75 mph gusting to 90 mph.  More than 100 homes were damaged from either wind or flooding. Downed trees and power lines resulted in temporary road closures and extended power outages. Power outages lasted up to 3 to 4 days.</t>
  </si>
  <si>
    <t>Wind damage due to trees and power lines down totaled $6,662,381.00 according to Tri-County Electric.</t>
  </si>
  <si>
    <t>There were many downed trees and power lines across the county.  Two people died in traffic accidents, and one person died from a tree falling through the roof of a house.</t>
  </si>
  <si>
    <t>GILCHRIST (ZONE)</t>
  </si>
  <si>
    <t>Nearly 9,000 customers (about 87% of the county) were without power after the storm passed early Friday Morning, the 27th. Schools remain closed as of the 30th. Gilchrist County EOC Weatherstem site had two peak gusts to 54 mph: from the SW at about 11:00 pm, and from the SSE at about 11:50 pm.</t>
  </si>
  <si>
    <t>Hurricane Helene made landfall as a category 4 with peak winds of near 140 mph in the Florida Big |Bend just east of the Aucilla River Entrance in Taylor County, late Thursday evening September 26, |2024.  Helene's main impact to southeast Georgia and northeast Florida was wind damage as it |tracked quickly north-northeast. The very powerful hurricane and the forward motion produced a |wide swath of wind damage across the forecast area with peak wind gusts 55 to 75 mph across the |eastern half of the area, and western zones up to 75 to 100 mph from the Suwannee Valley area |northward through interior southeast GA. The max wind gust of 100 mph was measured at the Alma |GA ASOS in the early morning hours of Friday September 27th.  Given the strength of these winds, |widespread power outages, structure damage and downed or uprooted trees occurred across inland |southeast GA and portions of northeast FL. At least 1 tornado occurred, which was in Coffee county. |Maximum rainfall amounts of 3 to 5 inches were located over western half of the area.</t>
  </si>
  <si>
    <t>SOUTHWR COLUMBIA (ZONE)</t>
  </si>
  <si>
    <t>Widespread trees and powerlines were reported down throughout the county, as well as structural damage to roofs from strong wind and downed trees. Many roads were blocked due to downed trees and powerlines across the county. On September 27, approximately 99% of Columbia county residents were without power.</t>
  </si>
  <si>
    <t>Multiple buildings in Live Oak suffered extensive roof damage with some roofs uplifting and being tossed across parking lots. A house was completely destroyed in Lancaster along 217th Rd N and CR-136. Numerous trees and powerlines were down across the county. Far outer rainbands began to impact the county on the afternoon of Wednesday, 9/25. Wind gusts near 40 mph were reported, including a 41 mph gust at the WeatherSTEM near Dowling Park at 5:10 pm local time.  At 11 pm, the mesonet station at the Suwannee Advent Christian Village had a gust of 76 mph.  At 11:20 pm, the mesonet site at the Suwannee County EOC in Live Oak had a gust of 63 mph. At 11:30 pm, the Suwannee Advent Christian Village mesonet near Dowling Park had a sustained wind of 53 mph and a gust of 83 mph, then at 12 am on 9/27, the site had a sustained wind of 70 mph and gust to 99 mph. At 12:40 am, the mesonet site at Suwannee Boys Range about 5 miles west of Suwannee Springs measured a gust of 79 mph. Nearly the entirety of the county (almost 25,000 customers) were without power on the morning of the 27th.</t>
  </si>
  <si>
    <t>EASTERN HAMILTON (ZONE)</t>
  </si>
  <si>
    <t>As of early AM on the 27th, the entire county was reported without power (over 7,000 customers). Numerous trees and power lines were reported across the county. Two large trees snapped and fell through a home causing complete destruction of the home along NW 104th Pl. A metal cell phone was bent along NW HWY 129. In Jasper, the 2nd floor of a brick building had the roof and two walls collapse and another brick building had its roof completely blown off. Metal roofs were peeled off of the Hamilton EOC carport and a business along 2nd Ave SE.</t>
  </si>
  <si>
    <t>WR HAMILTON (ZONE)</t>
  </si>
  <si>
    <t>On 9/27 at 1:00 am, the mesonet site at Hamilton Crossroads had a gust of 94 mph from the S. The same site reported a sustained wind speed of 55mph out of the ESE at 11:50 pm on the 26th. As of early AM on the 27th, the entire county was reported without power (over 7,000 customers). Numerous trees and power lines were reported across the county.</t>
  </si>
  <si>
    <t>Numerous trees and power lines were blown down. Initial damage estimate is over $2.5 million based off of the Jefferson County Property Appraiserï¿½ï¿½ï¿½s Office plus the additional costs of power restoration and debris removal.</t>
  </si>
  <si>
    <t>Hurricane Helene made landfall as a Category 4 hurricane with maximum sustained winds of 140 mph and a minimum central pressure of 938 mb (27.70 inches) at about 11:10 PM EDT on Thursday, September 26th, in Taylor County Florida just east of the Aucilla River. Helene quickly moved inland across Taylor and Madison Counties before moving into Lowndes County in South Central Georgia. The hurricane produced a devastating storm surge along the coast of Apalachee Bay, exceeding 15 feet above normally dry ground in some locations. A large area of damaging winds extended from the Big Bend coast well-inland into Georgia along the I-75 corridor, causing significant damage. Wind gusts of at least 90 to 100 mph spread inland through Taylor, Madison, Lafayette Counties in Florida, and into Lowndes County in Georgia. Widespread power outages, structural damage, and severe tree damage occurred throughout this area. Significant rainfall also fell with the hurricane, with a maximum of 12 to 14 inches falling west of Tallahassee in the Apalachicola River Basin. The Florida Office of Insurance Regulation estimated that Hurricane Helene caused $13.4 billion in insured losses in the state as of October 17.  Uninsured losses were likely higher.  Early estimates from Florida's Department of Agriculture and Consumer Services indicate between $500 million and $800 million in crop and farm infrastructure losses in Florida alone.</t>
  </si>
  <si>
    <t>Nearly 100% of Madison county lost power due to widespread trees and power lines down.  Major agriculture losses occurred in the county.</t>
  </si>
  <si>
    <t>There were numerous trees and power lines blown down.  Nearly 100% of the county lost power.  Major agriculture losses occurred in the county.</t>
  </si>
  <si>
    <t>One person was killed when a tree fell through their house. Two others died from cardiac arrest. There were 120 people in the mini temporary hospital that was set up. Nearly all customers lost power due to widespread downed power lines and trees.</t>
  </si>
  <si>
    <t>Numerous trees and power lines were blown down with significant structural damage to the coastal town of Horseshoe Beach.</t>
  </si>
  <si>
    <t>Numerous trees and power lines were blown down with nearly 100% of the county losing power.  A mandatory evacuation was ordered for the entire county, and no fatalities or injuries occurred during the storm.  Major agriculture losses also occurred in the county.</t>
  </si>
  <si>
    <t>Numerous trees and power lines were blown down.  Nearly 80% of the towns of Keaton Beach and Steinhatchee were destroyed due to a combination of wind and surge.  A mandatory evacuation was ordered for the entire county, and no fatalities or injuries occurred during the storm.</t>
  </si>
  <si>
    <t>Residential initial damage assessment results include 3 destroyed, 27 major damage, 47 minor damage, and 56 affected. Infrastructure impact estimates include an additional $10,450,000 to restore electricity and remove 100,000 to 125,000 cubic yards of debris. At the peak, roughly 53,000 City of Tallahassee Utility customers and 35,000 Talquin Electric customers (63%) were without power.</t>
  </si>
  <si>
    <t>COASTAL FLAGLER (ZONE)</t>
  </si>
  <si>
    <t>Flagler County experience Hurricane force wind gusts mainly along the coast ranging from 45-92 mph which led to downed trees and powerlines as well as roof damage being reported across much of the county. It should be noted the 92 mph wind gust reported at a WeatherStem site at Marineland remains suspect. The combination of heavy rainfall and surge flooding led to extensive flooding across Flagler county. ||Widespread 5-9 inches of rain were reported, with the highest storm total measured at 9.36 inches in Bunnell at 1:10 am on 10/10. On 10/10 at 1:55 am, a mesonet site 1 mile ESE of Flagler Beach measured 5.59 inches of storm total rainfall thus far. On 10/10 at 2:16 am, a mesonet site 3 miles S of Palm Coast had measured 5.51 inches of rainfall. At 3:44 am, the public about 4 miles NW of Flagler Beach measured 5.61 inches of storm total rainfall. ||Storm surge from Milton led to an overwash on A1A in Marineland near Old A1A and in Flagler Beach. Portions of A1A were closed due to sand over the roadway.  Per a professional boat captain, peak storm surge in northeast Palm Coast was 4 ft and 6 inches. On a NWS storm survey, the WCM measured a surge value (marked by a seedline) of 10 inches from the intracoastal waterway on a house along Windward Dr and Intracoastal Dr in Beverly Beach. The Flagler EM reported the salt water canals were 23 inches over the top in Palm Coast. Widespread street flooding, flooded docks, and road closures were reported across Palm Coast and Flagler Beach areas due to heavy rainfall and storm surge. Floodwaters inundated a home along Perthshire Ln in Palm Coast with floodwaters reaching up to a womanï¿½ï¿½ï¿½s ankles. Floodwaters in the streets appeared to reach halfway up a carï¿½ï¿½ï¿½s tire. According to the Flagler Sheriff, a swift water rescue of a family was conducted in Palm Coast when their truck became stranded in floodwaters. On 10/11, a NWS Storm Survey reported ongoing tidal flooding all along South Flagler Avenue to the south of 23rd Street South. A1A in Flagler Beach remained closed. ||Street flooding from rainfall as well as overflow from creeks, canals, and lakes were present across the inland portions of the county. |Multiple buildings in Flagler Beach suffered roof damage, including City Hall. A local motel had its roofsï¿½ï¿½ï¿½ blown off. Numerous trees were reported down across roads and on power lines in Palm Coast. A snapped tree fell on a home along Lloyd Trail in Palm Coast and destroyed the roof.  Another tree fell on a car in the W Section of Palm Coast and totaled the car. Fences were damaged either by strong wind gusts or fallen trees in Palm Coast. A screened enclosure was damaged by a fallen tree along Courtney Pl in Palm Coast. ||The first rainband came through on the morning of Oct. 9th at 1000 am with 1423W Fswn Flagler County Em Marineland measuring a gust of 41 mph.  At 12:40 pm, the same station measured a wind gust of 47 mph. Winds begin to ramp up in the evening of Oct. 9th with peak winds occurring on Oct. 10th between 12-4 AM EDT. Between 7-8 PM EDT on Oct. 9th, 1423W Fswn Flagler County Em Marineland measures gusts beginning with 50 mph to 56 mph. At 9 PM, Fswn Flagler County Em Marineland reported 59 mph wind gusts with sustained winds of 49 mph. At 9:15 PM, FW7349 Flagler Beach observation site reported a wind gust of 50 mph with sustained wind speed of 31 mph. At 9:50 PM, Fswn Flagler County Em Marineland reported a wind gust of 64 mph. At 10:10 PM, 1334W 1.6 E Palm Coast WeatherSTEM station measured a wind gust of 50 mph with sustained wind of 40 mph.  At 10:47 on 10/9, a mesonet site about 1 mile NNE of Palm Coast measured a wind gust of 52 mph.  At 11 pm, a mesonet site 2 miles east of Palm Coast reported a gust of 55 mph and the Marineland mesonet had a gust of 67 mph.  At 11:50 pm, a mesonet site 1 mile ESE of Flagler Beach measured a gust of 60 mph.  At 12 am on 10/10, the Marineland mesonet site |reported a gust of 69 mph and a mesonet site 2 miles east of Palm Coast reported a gust of 58 mph. At 12:20 am, the Marineland mesonet site measured a sustained wind of 57 mph with a gust of 73 mph. At 12:56 am, a spotter in Flagler Beach reported a measured wind gust of 72 mph. At 1:10 am, the mesonet site about 2 miles east of Palm Coast measured a gust of 68 mph. At 1:25 am, a mesonet site about 3 miles ENE of Bunnell reported a sustained wind of 54 mph. At 1:37 am, a spotter in Flagler Beach measured a sustained wind of 48 mph with a gust of 76 mph.  At 1:40 am, the Marineland mesonet station measured a wind gust of 76 mph and then at 1:50 am the site reported a wind gust of 84 mph. ||NOTE: The Marineland mesonet site was on the higher end of observations, even higher than some gusts reported near the eyewall closer to Cape Canaveral. The data is suspect. ||On Oct. 9th at 8 AM, Flagler county issued a mandatory evacuation for residents living in Mobile Homes and RVï¿½ï¿½ï¿½s, and specific areas for their coastal and island communities, including Marineland, Palm Coast and Flagler Beach.||Flagler County Emergency Management reported that the county suffered an estimated $18.8 million in damages.</t>
  </si>
  <si>
    <t>A tropical disturbance over the southwest Gulf of Mexico quickly developed into Tropical Storm |Milton on Saturday, October 5th. Milton then moved slowly east-southeastward, strengthening into a |hurricane the following day. On Monday, October 7th, the storm underwent rapid intensification, |reaching Category 5 strength as it neared the northwestern coast of Mexico's Yucatï¿½ï¿½n Peninsula. Late |on Monday and into Tuesday, Milton shifted eastward and then northeastward across the |southeastern Gulf of Mexico.| As Milton approached Floridaï¿½ï¿½ï¿½s Gulf coast on Wednesday, October 9th, it began to gradually weaken, |but still maintained major hurricane status. The storm made landfall that evening near Siesta Key on |Floridaï¿½ï¿½ï¿½s west coast as a strong Category 3 hurricane on the Saffir-Simpson Hurricane Wind Scale. |While it weakened further as it crossed central Florida overnight, Milton remained a hurricane. By |early Thursday morning, October 10th, it emerged off Floridaï¿½ï¿½ï¿½s Atlantic coast as a Category 1 storm.| Milton caused widespread impacts across north-central and northeast Florida, as well as coastal |southeast Georgia. Flagler County, along with large portions of St. Johns, Putnam, and Marion |counties, experienced sustained tropical storm-force winds and hurricane-force gusts. Rainfall |amounts ranged from 7 to 11 inches as outer rainbands and the storm's powerful northern side |swept through these areas late Wednesday night into early Thursday morning.| This heavy rainfall caused Deep Creek, a tributary of the St. Johns River in St. Johns County, to reach |record levels on Thursday, October 10th, surpassing the previous record set during Hurricane Irma in |2017. This led to extensive flooding throughout the southern half of St. Johns County, particularly in |the Flagler Estates community and the towns of Hastings and Spuds. Additionally, record flooding was |observed along Haw Creek in western Flagler County, exceeding the previous record set in the |aftermath of Hurricane Ian in 2022.| Storm surge flooding of around 3 feet above Mean Higher High Water (MHHW) was recorded along |the St. Johns River and the northeast Florida coast. Significant inundation was reported along the |lower St. Johns River, with widespread flooding in areas such as Welaka, FL.</t>
  </si>
  <si>
    <t>INLAND FLAGLER (ZONE)</t>
  </si>
  <si>
    <t>Flagler County had Hurricane force wind gusts mainly along the coast ranging from 45-92 mph which led to downed trees and powerlines as well as roof damage being reported across much of the county. It should be noted the 92 mph wind gust reported at a WeatherStem site at Marineland remains suspect. The combination of heavy rainfall and surge flooding led to extensive flooding across Flagler county. ||Widespread 5-9 inches of rain were reported, with the highest storm total measured at 9.36 inches in Bunnell at 1:10 am on 10/10. At 2:53 pm, Flagler EM reported flooding in the city on the west side of the bridge on West 100 by the railroad tracks. At 3:30 pm on 10/9, a CoCoRaHS observer about 5 miles NW of Palm Coast reported 2.54 inches of rainfall since 6 am with a flooded yard. On 10/10 at 2:16 am, a mesonet site 3 miles S of Palm Coast had measured 5.51 inches of rainfall. At 3:23 am, a mesonet site 4 miles SE of Andalusia measured 6.05 inches of storm total rainfall. ||On Oct. 10th at 5:15 PM, the Pellicer Creek near Espanola river gauge peaked in moderate flood stage and measured a height of 3.14 ft MHHW. The Flagler EM reported the salt water canals were 23 inches over the top in Palm Coast. Widespread street flooding, flooded docks, and road closures were reported across Palm Coast due to heavy rainfall and storm surge. Floodwaters inundated a home along Perthshire Ln in Palm Coast with floodwaters reaching up to a womanï¿½ï¿½ï¿½s ankles. Floodwaters in the streets appeared to reach halfway up a carï¿½ï¿½ï¿½s tire. According to the Flagler Sheriff, a swift water rescue of a family was conducted in Palm Coast when their truck became stranded in floodwaters. Street flooding from rainfall as well as overflow from creeks, canals, and lakes were present across the inland portions of the county. ||Haw Creek above Russell Landing near Crescent Lake reached major flooding on Oct. 10th at 2:30 AM and then reached record flooding at 9.23 ft on Oct. 12th at 12:15 PM. This record level broke the previous record of 8.7 ft set during Hurricane Irma. According to the Flagler Sheriff, a swift water rescue of a lady and her pets was conducted due to floodwaters from Haw Creek inundating her home along CR-305. The floodwaters surrounding the house went up to the knees of police officers. Waters from Bull Creek flooded the nearby Bull Creek Fish Campgrounds. Due to a large amount of accumulated water over the highway at the base of the overpass in Bunnell, FDOT closed the road between Woodland Street and Deen Road. Flooding was also reported in Bunnell on the west side of the bridge on West 100 by the railroad tracks. ||Numerous trees were reported down across roads and on power lines in Bunnell and Palm Coast. A snapped tree fell on a home along Lloyd Trail in Palm Coast and destroyed the roof. Another tree fell on a car in the W Section of Palm Coast and totaled the car. Fences were damaged either by strong wind gusts or fallen trees in Palm Coast. A screened enclosure was damaged by a fallen tree along Courtney Pl in Palm Coast. Winds begin to ramp up in the evening of Oct. 9th with peak winds occurring on Oct. 10th between 12-4 AM EDT. On 10/9 at 9:50 PM, Fswn Flagler County Em Marineland reported a wind gust of 64 mph. At 10:10 PM, 1334W 1.6 E Palm Coast WeatherSTEM station measured a wind gust of 50 mph with sustained wind of 40 mph. At 11:35 pm, the AWOS at the Bunnell Airport reported a gust of 51 mph. At 11:55 PM, AWOS station KFIN Flagler County in Bunnell reported a wind gust of 54 mph. On 10/10 at 12:55 am, the AWOS at the Bunnell airport measured a wind gust of 55 mph. At 1:25 am, a mesonet site about 3 miles ENE of Bunnell reported a sustained wind of 54 mph. ||NOTE: The Marineland mesonet site was on the higher end of observations, even higher than some gusts reported near the eyewall closer to Cape Canaveral. The data is suspect. ||On Oct. 9th at 8 AM, Flagler county issued a mandatory evacuation for residents living in Mobile Homes and RVï¿½ï¿½ï¿½s, and specific areas for their coastal and island communities, including Marineland, Palm Coast and Flagler Beach. Flagler County Emergency Management reported that the county suffered an estimated $18.8 million in damages.</t>
  </si>
  <si>
    <t>Surface observations indicate peak wind gusts generally between 80 to 100 mph, with a maximum gust of 102 mph at Sarasota-Bradenton International Airport at 8:34 PM EST on October 9. Rainfall generally ranged from 5 to 10 inches with a few pockets over a foot in far western parts of the county, with an isolated maximum total of 13.05 inches near Bradenton. The Sarasota-Bradenton Area climate site, Sarasota-Bradenton International Airport (KSRQ), recorded its 9th-highest 1-day total rainfall amount with 7.58 inches on October 9, and that value represents the fifth-highest 1-day total for the airport itself.  Area records date back to 1911, and the airport records date back to 1999. A peak water level of 1.37 feet above MHHW was measured at Port Manatee at 9:30 PM EST on October 9. Peak water levels estimated elsewhere along coastal Manatee County generally ranged between 1 to 3 feet above MHHW just ahead of landfall, then blowout tide conditions were observed with below normal water levels for a period of time for many locations.</t>
  </si>
  <si>
    <t>Hurricane Milton made landfall along the west-central Florida coast near Siesta Key at 7:30 PM EST on October 9th as a major, Category 3 hurricane with maximum sustained winds of 120 mph and a minimum pressure of 954 mb. 2 days prior to landfall on October 7th, Milton reached its peak intensity as a Category 5 hurricane with maximum sustained winds of 180 mph and a minimum pressure of 897 mb, making it the 5th most intense Atlantic hurricane of record in terms of pressure, and the strongest Atlantic hurricane since the 2005 Atlantic hurricane season. Milton would weaken due to an eyewall replacement cycle the following day before reattaining Category 5 status, before a weakening trend ensued early on the 9th and persisted through landfall due to increasing vertical wind shear and dry air. Milton produced wide ranging impacts across the western Florida panhandle from all commonly associated tropical cyclone hazards.|Milton produced a widespread swath of wind gusts of 80 to 100 mph across Pinellas, Hillsborough, Manatee and Sarasota counties, affecting the heavily populated Tampa-St. Petersburg metro area along with other large population centers including Bradenton and Sarasota. Wind gusts over 60 mph extended well into southwest Florida and up into the Nature Coast as well. Widespread significant structural and tree damage resulted from the strong winds, leading to numerous power outages that saw a peak of over 3.5 million customers without power. |Official storm surge measured by tidal gauges ranged from around 5 to 7 feet above normally dry ground in Sarasota, Charlotte and Lee counties, south of where the center moved ashore; however, peak water levels were estimated to have reached up to 10 feet above normally dry ground per NWS storm surveys following the storm, with numerous homes and structures damaged or destroyed by the storm surge across coastal Sarasota, Charlotte and Lee counties. Offshore winds north of Milton's center produced blowout tide conditions resulting in lower than normal water levels, which occurred from around Tampa Bay extending northward across coastal Nature Coast locations.|Milton produced a widespread swath of heavy rainfall just north of its track across the peninsula, with maximum storm totals of generally 12 to 18 inches and some local totals in excess of 20 inches, spanning from the Tampa Bay area north and east into parts of Pasco, Polk and Sumter counties. These heavy rains resulted in widespread flash flooding and eventually led to moderate to major river flooding, with some river gauge sites establishing new record crests as a result.|Prior to landfall, at least a dozen tornadoes impacted west central and southwest Florida as outer rainbands moved across the area, establishing a new record number of tornadoes to affect the area in a 24-hour period. The strongest of these tornadoes were two EF-2 tornadoes, one that tracked through the Fort Myers area, and another that tracked across the Lake Placid area. While the tornadoes were responsible for structural and agricultural damage, only an injury was reported.|Milton's overall impacts across the western Florida peninsula resulted in 7 direct fatalities, 4 indirect fatalities, and over $3 billion in insured losses. Over 200 homes were destroyed, with over 2,000 suffering major damage, and 5,000 suffering minor damage. Over 400 businesses were impacted by Milton.</t>
  </si>
  <si>
    <t>Surface observations indicate peak wind gusts generally between 80 to 100 mph, with a maximum gust of 93 mph near Tampa International Airport at 10:18 PM EST on October 9. Rainfall generally ranged from 10 to 15 inches over most of the county and 5 to 10 inches over the southeastern part of the county, with an isolated maximum total of 18.82 inches near Westchase. The Tampa Area climate site, Tampa International Airport (KTPA), recorded its second-highest 1-day total rainfall amount of 11.43 inches, just shy of the all-time record of 11.45 inches set on May 8, 1979. Tampa Area records date back to 1890, and Tampa International Airport records, specifically, date back to 1939. Multiple record-high crests were observed along the Hillsborough River, with a crest of 38.16 feet at Morris Bridge at 5:30 PM EST on October 12, surpassing the previous record of 34.66 feet set on September 17, 2017 following Hurricane Irma, and a crest of 17.14 feet near Zephyrhills at Hillsborough River State Park at 11:15 PM EST on October 10, surpassing the previous record of 15.33 feet set on March 18, 1960. A peak water level of 1.05 feet above MHHW was measured at East Bay at 4:30 AM EST on October 9. Peak water levels measured elsewhere along coastal Hillsborough County generally ranged around a foot or less above MHHW, although blowout tide conditions were observed with below normal water levels for a period of time.</t>
  </si>
  <si>
    <t>Surface observations indicate peak wind gusts generally between 70 to 80 mph, with a maximum gust of 78 mph at Sanibel Island at 10:17 PM EST. Rainfall ranged from 2 to 4 inches, with a maximum total of 4.52 inches near Fort Myers. A peak water level of 5.27 feet above MHHW was measured at Fort Myers at 11:06 PM EST on October 9, the second-highest water level of record at the site behind only the 7.26 ft MHHW measured during Hurricane Ian on September 28, 2022. Peak water levels estimated elsewhere along coastal Lee County generally ranged from 3 to 6 feet above MHHW. Three tornadoes were confirmed in Lee County in association with Milton: an EF-2 in Fort Myers, and an EF-1 in Matlacha, and an EF-0 near Jonathan Harbour. Over $77 Million in damages were reported in the City of Fort Myers.</t>
  </si>
  <si>
    <t>Surface observations indicate peak wind gusts generally between 70 to 80 mph, with a maximum gust of 79 mph near Punta Gorda at 7:59 PM EST on October 9. Rainfall generally ranged from 3 to 6 inches, with an isolated maximum total of 7.41 inches near Cecil Webb. A peak water level of 4.69 feet above MHHW was measured at North Port Charlotte at 9:00 PM EST on October 9. Peak water levels estimated along coastal Charlotte County generally ranged from 4 to 8 feet above MHHW. Three tornadoes were confirmed in Charlotte County in association with Milton: an EF-1 in El Jobean, an EF-0 near Babcock, and an EF-0 near Prairie Creek Preserve.</t>
  </si>
  <si>
    <t>Surface observations indicate peak wind gusts generally between 80 to 100 mph, with a maximum gust of 97 mph at the Venice CMAN at 6:35 PM EST on October 9 and 102 mph at the Sarasota-Bradenton International Airport at 8:34 PM EST on October 9. Rainfall generally ranged from 4 to 8 inches, with an isolated maximum total of 10.24 inches near North Port. A peak water level of 5.3 feet above MHHW was measured at the USGS Venice gauge at 10:15 PM EST on October 9. Peak water levels estimated elsewhere along coastal Sarasota County generally ranged from 5 to 10 feet above MHHW.</t>
  </si>
  <si>
    <t>Surface observations indicate peak wind gusts generally between 80 to 100 mph, with a maximum gust of 101 mph at Albert Whitted Airport at 9:29 PM EST on October 9. Rainfall generally ranged from 10 to 15 inches with a few pockets of 15 to 20 inches over southern and southeastern parts of the county, with a maximum total of 20.4 inches observed near St. Petersburg. Albert Whitted Airport (KSPG) shattered its previous 1-day total rainfall amount with 18.54 inches recorded on October 9, nearly tripling the previous record of 6.93 inches set on September 14, 2001 in association with Tropical Storm Gabrielle. Site records date back to 1998. St. Petersburg-Clearwater International Airport (KPIE) recorded its second-highest 1-day total rainfall amount with 9.18 inches on October 9, behind the record of 9.6 inches set on July 18, 2004. Site records date back to 1998. A peak water level of 1.3 feet above MHHW was measured at Clearwater Beach at 11:24 AM EST on October 9. Peak water levels measured elsewhere along coastal Pinellas County generally ranged around a foot or less above MHHW, although blowout tide conditions were observed with below normal water levels for a period of time. 430 businesses were impacted resulting in an estimated $43 million in damage, while 274 residences were deemed destroyed, 2,285 received major damage, 5,376 received minor damage, and another 4,897 were affected.</t>
  </si>
  <si>
    <t>Surface observations indicate peak wind gusts generally between 80 to 90 mph, with a maximum gust of 87 mph at Winter Haven Gilbert Airport at 9:17 PM EST on October 9, before the instrument stopped reporting. Rainfall generally ranged from 10 to 15 inches over western parts of the county and 5 to 10 inches elsewhere, with an isolated maximum total of 16.55 inches near Green Swamp. The Lakeland Area climate site, Lakeland-Linder International Airport (KLAL), recorded its highest 1-day total rainfall amount of 8.93 inches ending on October 10, eclipsing the previous record of 7.34 inches set on October 24, 2005 as Hurricane Wilma moved across the southern Florida peninsula while interacting with a frontal boundary draped across the central peninsula. Lakeland Area records date back to 1948. Winter Haven Gilbert Airport (KGIF), recorded its fourth-highest 1-day total rainfall amount with 4.6 inches on October 9, before the instrument stopped reporting. Site records date back to 1998.</t>
  </si>
  <si>
    <t>Surface observations indicate peak wind gusts generally between 80 to 100 mph, with a maximum gust of 93 mph near Tampa International Airport at 10:18 PM EST on October 9. Rainfall generally ranged from 10 to 15 inches over most of the county and 5 to 10 inches over the southeastern part of the county, with an isolated maximum total of 18.82 inches near Westchase. The Tampa Area climate site, Tampa International Airport (KTPA), recorded its second-highest 1-day total rainfall amount of 11.43 inches, just shy of the all-time record of 11.45 inches set on May 8, 1979. Tampa Area records date back to 1890, and Tampa International Airport records, specifically, date back to 1939. Multiple record-high crests were observed along the Hillsborough River, with a crest of 38.16 feet at Morris Bridge at 5:30 PM EST on October 12, surpassing the previous record of 34.66 feet set on September 17, 2017 following Hurricane Irma, and a crest of 17.14 feet near Zephyrhills at Hillsborough River State Park at 11:15 PM EST on October 10, surpassing the previous record of 15.33 feet set on March 18, 1960.</t>
  </si>
  <si>
    <t>Surface observations indicate peak wind gusts generally between 80 to 100 mph, with a maximum gust of 102 mph at Sarasota-Bradenton International Airport at 8:34 PM EST on October 9. Rainfall generally ranged from 5 to 10 inches with a few pockets over a foot in far western parts of the county, with an isolated maximum total of 13.05 inches near Bradenton. The Sarasota-Bradenton Area climate site, Sarasota-Bradenton International Airport (KSRQ), recorded its 9th-highest 1-day total rainfall amount with 7.58 inches on October 9, and that value represents the fifth-highest 1-day total for the airport itself.  Area records date back to 1911, and the airport records date back to 1999.</t>
  </si>
  <si>
    <t>Surface observations indicate peak wind gusts generally between 80 to 100 mph, with a maximum gust of 97 mph at the Venice CMAN at 6:35 PM EST on October 9 and 102 mph at the Sarasota-Bradenton International Airport at 8:34 PM EST on October 9. Rainfall generally ranged from 4 to 8 inches, with an isolated maximum total of 10.24 inches near North Port.</t>
  </si>
  <si>
    <t>Surface observations indicate peak wind gusts generally between 60 to 75 mph,with a maximum gust of 64 mph near Bowling Green at 8:55 PM EST on October 9. Rainfall ranged from 4 to 8 inches, with a maximum total of 8.06 inches near Zolfo Springs. An EF-1 tornado occurred near Bereah.</t>
  </si>
  <si>
    <t>Surface observations indicate peak wind gusts generally between 60 to 75 mph, with a maximum gust of 73 mph near Arcadia at 8:30 PM EST on October 9. Rainfall ranged from 3 to 6 inches, with a maximum total of 6.74 inches near Prairie Creek.</t>
  </si>
  <si>
    <t>Surface observations indicate peak wind gusts generally between 65 to 75 mph, with maximum gusts of 73 mph at Avon Park AF Range at 9:22 PM EST, Sebring Regional Airport at 9:55 PM EST, and Lake Placid at 9:40 PM EST, each on October 9. Rainfall ranged from 3 to 6 inches, with a maximum total of 6.29 inches near Hicoria. Five tornadoes were confirmed in Highlands County in association with Milton: an EF-2 near Lake Placid, an EF-1 near Lorida, an EF-1 near Venus, an EF-1 near Archbold, and an EF-0 near Avon Park. 1 injury was reported with the EF-2 Lake Placid tornado.</t>
  </si>
  <si>
    <t>Broadcast Media</t>
  </si>
  <si>
    <t>Report received of camper flipped over due to winds on Polk Parkway near Tampa.</t>
  </si>
  <si>
    <t>Public</t>
  </si>
  <si>
    <t>Major structural damage reported to Tropicana Field in St. Petersburg including complete removal of the roof due to winds.</t>
  </si>
  <si>
    <t>Multiple cranes downed in St. Petersburg as a result of winds.</t>
  </si>
  <si>
    <t>GeoFips</t>
  </si>
  <si>
    <t>GeoName</t>
  </si>
  <si>
    <t>12001</t>
  </si>
  <si>
    <t>Alachua, FL</t>
  </si>
  <si>
    <t>12003</t>
  </si>
  <si>
    <t>Baker, FL</t>
  </si>
  <si>
    <t>12005</t>
  </si>
  <si>
    <t>Bay, FL</t>
  </si>
  <si>
    <t>12007</t>
  </si>
  <si>
    <t>Bradford, FL</t>
  </si>
  <si>
    <t>12009</t>
  </si>
  <si>
    <t>Brevard, FL</t>
  </si>
  <si>
    <t>12011</t>
  </si>
  <si>
    <t>Broward, FL</t>
  </si>
  <si>
    <t>12013</t>
  </si>
  <si>
    <t>Calhoun, FL</t>
  </si>
  <si>
    <t>12015</t>
  </si>
  <si>
    <t>Charlotte, FL</t>
  </si>
  <si>
    <t>12017</t>
  </si>
  <si>
    <t>Citrus, FL</t>
  </si>
  <si>
    <t>12019</t>
  </si>
  <si>
    <t>Clay, FL</t>
  </si>
  <si>
    <t>12021</t>
  </si>
  <si>
    <t>Collier, FL</t>
  </si>
  <si>
    <t>12023</t>
  </si>
  <si>
    <t>Columbia, FL</t>
  </si>
  <si>
    <t>12027</t>
  </si>
  <si>
    <t>DeSoto, FL</t>
  </si>
  <si>
    <t>12029</t>
  </si>
  <si>
    <t>Dixie, FL</t>
  </si>
  <si>
    <t>12031</t>
  </si>
  <si>
    <t>Duval, FL</t>
  </si>
  <si>
    <t>12033</t>
  </si>
  <si>
    <t>Escambia, FL</t>
  </si>
  <si>
    <t>12035</t>
  </si>
  <si>
    <t>Flagler, FL</t>
  </si>
  <si>
    <t>12037</t>
  </si>
  <si>
    <t>Franklin, FL</t>
  </si>
  <si>
    <t>12039</t>
  </si>
  <si>
    <t>Gadsden, FL</t>
  </si>
  <si>
    <t>12041</t>
  </si>
  <si>
    <t>Gilchrist, FL</t>
  </si>
  <si>
    <t>12043</t>
  </si>
  <si>
    <t>Glades, FL</t>
  </si>
  <si>
    <t>12045</t>
  </si>
  <si>
    <t>Gulf, FL</t>
  </si>
  <si>
    <t>12047</t>
  </si>
  <si>
    <t>Hamilton, FL</t>
  </si>
  <si>
    <t>12049</t>
  </si>
  <si>
    <t>Hardee, FL</t>
  </si>
  <si>
    <t>12051</t>
  </si>
  <si>
    <t>Hendry, FL</t>
  </si>
  <si>
    <t>12053</t>
  </si>
  <si>
    <t>Hernando, FL</t>
  </si>
  <si>
    <t>12055</t>
  </si>
  <si>
    <t>Highlands, FL</t>
  </si>
  <si>
    <t>12057</t>
  </si>
  <si>
    <t>Hillsborough, FL</t>
  </si>
  <si>
    <t>12059</t>
  </si>
  <si>
    <t>Holmes, FL</t>
  </si>
  <si>
    <t>12061</t>
  </si>
  <si>
    <t>Indian River, FL</t>
  </si>
  <si>
    <t>12063</t>
  </si>
  <si>
    <t>Jackson, FL</t>
  </si>
  <si>
    <t>12065</t>
  </si>
  <si>
    <t>Jefferson, FL</t>
  </si>
  <si>
    <t>12067</t>
  </si>
  <si>
    <t>Lafayette, FL</t>
  </si>
  <si>
    <t>12069</t>
  </si>
  <si>
    <t>Lake, FL</t>
  </si>
  <si>
    <t>12071</t>
  </si>
  <si>
    <t>Lee, FL</t>
  </si>
  <si>
    <t>12073</t>
  </si>
  <si>
    <t>Leon, FL</t>
  </si>
  <si>
    <t>12075</t>
  </si>
  <si>
    <t>Levy, FL</t>
  </si>
  <si>
    <t>12077</t>
  </si>
  <si>
    <t>Liberty, FL</t>
  </si>
  <si>
    <t>12079</t>
  </si>
  <si>
    <t>Madison, FL</t>
  </si>
  <si>
    <t>12081</t>
  </si>
  <si>
    <t>Manatee, FL</t>
  </si>
  <si>
    <t>12083</t>
  </si>
  <si>
    <t>Marion, FL</t>
  </si>
  <si>
    <t>12085</t>
  </si>
  <si>
    <t>Martin, FL</t>
  </si>
  <si>
    <t>12086</t>
  </si>
  <si>
    <t>Miami-Dade, FL</t>
  </si>
  <si>
    <t>12087</t>
  </si>
  <si>
    <t>Monroe, FL</t>
  </si>
  <si>
    <t>12089</t>
  </si>
  <si>
    <t>Nassau, FL</t>
  </si>
  <si>
    <t>12091</t>
  </si>
  <si>
    <t>Okaloosa, FL</t>
  </si>
  <si>
    <t>12093</t>
  </si>
  <si>
    <t>Okeechobee, FL</t>
  </si>
  <si>
    <t>12095</t>
  </si>
  <si>
    <t>Orange, FL</t>
  </si>
  <si>
    <t>12097</t>
  </si>
  <si>
    <t>Osceola, FL</t>
  </si>
  <si>
    <t>12099</t>
  </si>
  <si>
    <t>Palm Beach, FL</t>
  </si>
  <si>
    <t>12101</t>
  </si>
  <si>
    <t>Pasco, FL</t>
  </si>
  <si>
    <t>12103</t>
  </si>
  <si>
    <t>Pinellas, FL</t>
  </si>
  <si>
    <t>12105</t>
  </si>
  <si>
    <t>Polk, FL</t>
  </si>
  <si>
    <t>12107</t>
  </si>
  <si>
    <t>Putnam, FL</t>
  </si>
  <si>
    <t>12109</t>
  </si>
  <si>
    <t>St. Johns, FL</t>
  </si>
  <si>
    <t>12111</t>
  </si>
  <si>
    <t>St. Lucie, FL</t>
  </si>
  <si>
    <t>12113</t>
  </si>
  <si>
    <t>Santa Rosa, FL</t>
  </si>
  <si>
    <t>12115</t>
  </si>
  <si>
    <t>Sarasota, FL</t>
  </si>
  <si>
    <t>12117</t>
  </si>
  <si>
    <t>Seminole, FL</t>
  </si>
  <si>
    <t>12119</t>
  </si>
  <si>
    <t>Sumter, FL</t>
  </si>
  <si>
    <t>12121</t>
  </si>
  <si>
    <t>Suwannee, FL</t>
  </si>
  <si>
    <t>12123</t>
  </si>
  <si>
    <t>Taylor, FL</t>
  </si>
  <si>
    <t>12125</t>
  </si>
  <si>
    <t>Union, FL</t>
  </si>
  <si>
    <t>12127</t>
  </si>
  <si>
    <t>Volusia, FL</t>
  </si>
  <si>
    <t>12129</t>
  </si>
  <si>
    <t>Wakulla, FL</t>
  </si>
  <si>
    <t>12131</t>
  </si>
  <si>
    <t>Walton, FL</t>
  </si>
  <si>
    <t>Washington, FL</t>
  </si>
  <si>
    <t>GEONAME</t>
  </si>
  <si>
    <t xml:space="preserve"> Santa Rosa, FL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</si>
</sst>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B8976-BB50-452D-9B59-786842752B6A}">
  <dimension ref="A1:AS329"/>
  <sheetViews>
    <sheetView tabSelected="1" workbookViewId="0">
      <selection activeCell="J5" sqref="J5"/>
    </sheetView>
  </sheetViews>
  <sheetFormatPr defaultRowHeight="14.4" x14ac:dyDescent="0.3"/>
  <cols>
    <col min="2" max="2" width="42.5546875" bestFit="1" customWidth="1"/>
    <col min="3" max="3" width="15.44140625" bestFit="1" customWidth="1"/>
    <col min="4" max="4" width="8.109375" bestFit="1" customWidth="1"/>
    <col min="6" max="6" width="11.6640625" bestFit="1" customWidth="1"/>
    <col min="33" max="33" width="10.33203125" bestFit="1" customWidth="1"/>
  </cols>
  <sheetData>
    <row r="1" spans="1:42" x14ac:dyDescent="0.3">
      <c r="A1" t="s">
        <v>0</v>
      </c>
      <c r="B1" t="s">
        <v>1</v>
      </c>
      <c r="C1" t="s">
        <v>478</v>
      </c>
      <c r="D1" t="s">
        <v>343</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row>
    <row r="2" spans="1:42" x14ac:dyDescent="0.3">
      <c r="A2">
        <v>5716192</v>
      </c>
      <c r="B2" t="s">
        <v>39</v>
      </c>
      <c r="C2" t="str">
        <f>_xlfn.XLOOKUP(B2,Match!$A$2:$A$111,Match!$B$2:$B$111)</f>
        <v>Palm Beach, FL</v>
      </c>
      <c r="D2" t="str">
        <f>_xlfn.XLOOKUP(C2,Validation!$B$2:$B$68,Validation!$A$2:$A$68)</f>
        <v>12099</v>
      </c>
      <c r="E2" t="s">
        <v>40</v>
      </c>
      <c r="F2" s="1">
        <v>36401</v>
      </c>
      <c r="G2">
        <v>2330</v>
      </c>
      <c r="H2" t="s">
        <v>41</v>
      </c>
      <c r="I2" t="s">
        <v>40</v>
      </c>
      <c r="J2" t="s">
        <v>40</v>
      </c>
      <c r="K2">
        <v>1</v>
      </c>
      <c r="L2">
        <v>0</v>
      </c>
      <c r="M2">
        <v>100000</v>
      </c>
      <c r="N2">
        <v>0</v>
      </c>
      <c r="O2" t="s">
        <v>42</v>
      </c>
      <c r="P2" t="s">
        <v>43</v>
      </c>
      <c r="Q2" t="s">
        <v>40</v>
      </c>
      <c r="R2">
        <v>2412133</v>
      </c>
      <c r="S2" t="s">
        <v>44</v>
      </c>
      <c r="T2">
        <v>68</v>
      </c>
      <c r="U2" t="s">
        <v>45</v>
      </c>
      <c r="V2">
        <v>0</v>
      </c>
      <c r="W2">
        <v>0</v>
      </c>
      <c r="X2" t="s">
        <v>46</v>
      </c>
      <c r="Y2" t="s">
        <v>40</v>
      </c>
      <c r="Z2" t="s">
        <v>40</v>
      </c>
      <c r="AA2" t="s">
        <v>40</v>
      </c>
      <c r="AB2" t="s">
        <v>40</v>
      </c>
      <c r="AC2" t="s">
        <v>40</v>
      </c>
      <c r="AD2" t="s">
        <v>40</v>
      </c>
      <c r="AE2" t="s">
        <v>40</v>
      </c>
      <c r="AF2" t="s">
        <v>40</v>
      </c>
      <c r="AG2" s="1">
        <v>36401</v>
      </c>
      <c r="AH2">
        <v>2330</v>
      </c>
      <c r="AI2" t="s">
        <v>40</v>
      </c>
      <c r="AJ2" t="s">
        <v>40</v>
      </c>
      <c r="AK2" t="s">
        <v>40</v>
      </c>
      <c r="AL2" t="s">
        <v>40</v>
      </c>
      <c r="AN2" t="s">
        <v>47</v>
      </c>
      <c r="AO2">
        <v>85</v>
      </c>
    </row>
    <row r="3" spans="1:42" x14ac:dyDescent="0.3">
      <c r="A3">
        <v>5716202</v>
      </c>
      <c r="B3" t="s">
        <v>48</v>
      </c>
      <c r="C3" t="str">
        <f>_xlfn.XLOOKUP(B3,Match!$A$2:$A$111,Match!$B$2:$B$111)</f>
        <v>Miami-Dade, FL</v>
      </c>
      <c r="D3" t="str">
        <f>_xlfn.XLOOKUP(C3,Validation!$B$2:$B$68,Validation!$A$2:$A$68)</f>
        <v>12086</v>
      </c>
      <c r="E3" t="s">
        <v>40</v>
      </c>
      <c r="F3" s="1">
        <v>36416</v>
      </c>
      <c r="G3">
        <v>1200</v>
      </c>
      <c r="H3" t="s">
        <v>41</v>
      </c>
      <c r="I3" t="s">
        <v>40</v>
      </c>
      <c r="J3" t="s">
        <v>40</v>
      </c>
      <c r="K3">
        <v>0</v>
      </c>
      <c r="L3">
        <v>0</v>
      </c>
      <c r="M3">
        <v>0</v>
      </c>
      <c r="N3">
        <v>0</v>
      </c>
      <c r="O3" t="s">
        <v>42</v>
      </c>
      <c r="P3" t="s">
        <v>43</v>
      </c>
      <c r="Q3" t="s">
        <v>40</v>
      </c>
      <c r="R3">
        <v>2412137</v>
      </c>
      <c r="S3" t="s">
        <v>44</v>
      </c>
      <c r="T3">
        <v>74</v>
      </c>
      <c r="U3" t="s">
        <v>45</v>
      </c>
      <c r="V3">
        <v>0</v>
      </c>
      <c r="W3">
        <v>0</v>
      </c>
      <c r="X3" t="s">
        <v>46</v>
      </c>
      <c r="Y3" t="s">
        <v>40</v>
      </c>
      <c r="Z3" t="s">
        <v>40</v>
      </c>
      <c r="AA3" t="s">
        <v>40</v>
      </c>
      <c r="AB3" t="s">
        <v>40</v>
      </c>
      <c r="AC3" t="s">
        <v>40</v>
      </c>
      <c r="AD3" t="s">
        <v>40</v>
      </c>
      <c r="AE3" t="s">
        <v>40</v>
      </c>
      <c r="AF3" t="s">
        <v>40</v>
      </c>
      <c r="AG3" s="1">
        <v>36417</v>
      </c>
      <c r="AH3">
        <v>2300</v>
      </c>
      <c r="AI3" t="s">
        <v>40</v>
      </c>
      <c r="AJ3" t="s">
        <v>40</v>
      </c>
      <c r="AK3" t="s">
        <v>40</v>
      </c>
      <c r="AL3" t="s">
        <v>40</v>
      </c>
      <c r="AN3" t="s">
        <v>49</v>
      </c>
      <c r="AO3" t="s">
        <v>50</v>
      </c>
      <c r="AP3" t="s">
        <v>51</v>
      </c>
    </row>
    <row r="4" spans="1:42" x14ac:dyDescent="0.3">
      <c r="A4">
        <v>5716201</v>
      </c>
      <c r="B4" t="s">
        <v>52</v>
      </c>
      <c r="C4" t="str">
        <f>_xlfn.XLOOKUP(B4,Match!$A$2:$A$111,Match!$B$2:$B$111)</f>
        <v>Broward, FL</v>
      </c>
      <c r="D4" t="str">
        <f>_xlfn.XLOOKUP(C4,Validation!$B$2:$B$68,Validation!$A$2:$A$68)</f>
        <v>12011</v>
      </c>
      <c r="E4" t="s">
        <v>40</v>
      </c>
      <c r="F4" s="1">
        <v>36416</v>
      </c>
      <c r="G4">
        <v>1200</v>
      </c>
      <c r="H4" t="s">
        <v>41</v>
      </c>
      <c r="I4" t="s">
        <v>40</v>
      </c>
      <c r="J4" t="s">
        <v>40</v>
      </c>
      <c r="K4">
        <v>0</v>
      </c>
      <c r="L4">
        <v>0</v>
      </c>
      <c r="M4">
        <v>0</v>
      </c>
      <c r="N4">
        <v>0</v>
      </c>
      <c r="O4" t="s">
        <v>42</v>
      </c>
      <c r="P4" t="s">
        <v>43</v>
      </c>
      <c r="Q4" t="s">
        <v>40</v>
      </c>
      <c r="R4">
        <v>2412137</v>
      </c>
      <c r="S4" t="s">
        <v>44</v>
      </c>
      <c r="T4">
        <v>72</v>
      </c>
      <c r="U4" t="s">
        <v>45</v>
      </c>
      <c r="V4">
        <v>0</v>
      </c>
      <c r="W4">
        <v>0</v>
      </c>
      <c r="X4" t="s">
        <v>46</v>
      </c>
      <c r="Y4" t="s">
        <v>40</v>
      </c>
      <c r="Z4" t="s">
        <v>40</v>
      </c>
      <c r="AA4" t="s">
        <v>40</v>
      </c>
      <c r="AB4" t="s">
        <v>40</v>
      </c>
      <c r="AC4" t="s">
        <v>40</v>
      </c>
      <c r="AD4" t="s">
        <v>40</v>
      </c>
      <c r="AE4" t="s">
        <v>40</v>
      </c>
      <c r="AF4" t="s">
        <v>40</v>
      </c>
      <c r="AG4" s="1">
        <v>36417</v>
      </c>
      <c r="AH4">
        <v>2300</v>
      </c>
      <c r="AI4" t="s">
        <v>40</v>
      </c>
      <c r="AJ4" t="s">
        <v>40</v>
      </c>
      <c r="AK4" t="s">
        <v>40</v>
      </c>
      <c r="AL4" t="s">
        <v>40</v>
      </c>
      <c r="AN4" t="s">
        <v>49</v>
      </c>
      <c r="AO4" t="s">
        <v>50</v>
      </c>
      <c r="AP4" t="s">
        <v>51</v>
      </c>
    </row>
    <row r="5" spans="1:42" x14ac:dyDescent="0.3">
      <c r="A5">
        <v>5716203</v>
      </c>
      <c r="B5" t="s">
        <v>39</v>
      </c>
      <c r="C5" t="str">
        <f>_xlfn.XLOOKUP(B5,Match!$A$2:$A$111,Match!$B$2:$B$111)</f>
        <v>Palm Beach, FL</v>
      </c>
      <c r="D5" t="str">
        <f>_xlfn.XLOOKUP(C5,Validation!$B$2:$B$68,Validation!$A$2:$A$68)</f>
        <v>12099</v>
      </c>
      <c r="E5" t="s">
        <v>40</v>
      </c>
      <c r="F5" s="1">
        <v>36416</v>
      </c>
      <c r="G5">
        <v>1200</v>
      </c>
      <c r="H5" t="s">
        <v>41</v>
      </c>
      <c r="I5" t="s">
        <v>40</v>
      </c>
      <c r="J5" t="s">
        <v>40</v>
      </c>
      <c r="K5">
        <v>0</v>
      </c>
      <c r="L5">
        <v>0</v>
      </c>
      <c r="M5">
        <v>100000</v>
      </c>
      <c r="N5">
        <v>0</v>
      </c>
      <c r="O5" t="s">
        <v>42</v>
      </c>
      <c r="P5" t="s">
        <v>43</v>
      </c>
      <c r="Q5" t="s">
        <v>40</v>
      </c>
      <c r="R5">
        <v>2412137</v>
      </c>
      <c r="S5" t="s">
        <v>44</v>
      </c>
      <c r="T5">
        <v>68</v>
      </c>
      <c r="U5" t="s">
        <v>45</v>
      </c>
      <c r="V5">
        <v>0</v>
      </c>
      <c r="W5">
        <v>0</v>
      </c>
      <c r="X5" t="s">
        <v>46</v>
      </c>
      <c r="Y5" t="s">
        <v>40</v>
      </c>
      <c r="Z5" t="s">
        <v>40</v>
      </c>
      <c r="AA5" t="s">
        <v>40</v>
      </c>
      <c r="AB5" t="s">
        <v>40</v>
      </c>
      <c r="AC5" t="s">
        <v>40</v>
      </c>
      <c r="AD5" t="s">
        <v>40</v>
      </c>
      <c r="AE5" t="s">
        <v>40</v>
      </c>
      <c r="AF5" t="s">
        <v>40</v>
      </c>
      <c r="AG5" s="1">
        <v>36417</v>
      </c>
      <c r="AH5">
        <v>2300</v>
      </c>
      <c r="AI5" t="s">
        <v>40</v>
      </c>
      <c r="AJ5" t="s">
        <v>40</v>
      </c>
      <c r="AK5" t="s">
        <v>40</v>
      </c>
      <c r="AL5" t="s">
        <v>40</v>
      </c>
      <c r="AN5" t="s">
        <v>49</v>
      </c>
      <c r="AO5" t="s">
        <v>50</v>
      </c>
      <c r="AP5" t="s">
        <v>51</v>
      </c>
    </row>
    <row r="6" spans="1:42" ht="409.6" x14ac:dyDescent="0.3">
      <c r="A6">
        <v>5717086</v>
      </c>
      <c r="B6" t="s">
        <v>53</v>
      </c>
      <c r="C6" t="str">
        <f>_xlfn.XLOOKUP(B6,Match!$A$2:$A$111,Match!$B$2:$B$111)</f>
        <v>DeSoto, FL</v>
      </c>
      <c r="D6" t="str">
        <f>_xlfn.XLOOKUP(C6,Validation!$B$2:$B$68,Validation!$A$2:$A$68)</f>
        <v>12027</v>
      </c>
      <c r="E6" t="s">
        <v>40</v>
      </c>
      <c r="F6" s="1">
        <v>36417</v>
      </c>
      <c r="G6">
        <v>1200</v>
      </c>
      <c r="H6" t="s">
        <v>41</v>
      </c>
      <c r="I6" t="s">
        <v>40</v>
      </c>
      <c r="J6" t="s">
        <v>40</v>
      </c>
      <c r="K6">
        <v>0</v>
      </c>
      <c r="L6">
        <v>0</v>
      </c>
      <c r="M6">
        <v>0</v>
      </c>
      <c r="N6">
        <v>0</v>
      </c>
      <c r="O6" t="s">
        <v>42</v>
      </c>
      <c r="P6" t="s">
        <v>43</v>
      </c>
      <c r="Q6" t="s">
        <v>40</v>
      </c>
      <c r="R6">
        <v>2412730</v>
      </c>
      <c r="S6" t="s">
        <v>44</v>
      </c>
      <c r="T6">
        <v>61</v>
      </c>
      <c r="U6" t="s">
        <v>54</v>
      </c>
      <c r="V6">
        <v>0</v>
      </c>
      <c r="W6">
        <v>0</v>
      </c>
      <c r="X6" t="s">
        <v>55</v>
      </c>
      <c r="Y6" t="s">
        <v>40</v>
      </c>
      <c r="Z6" t="s">
        <v>40</v>
      </c>
      <c r="AA6" t="s">
        <v>40</v>
      </c>
      <c r="AB6" t="s">
        <v>40</v>
      </c>
      <c r="AC6" t="s">
        <v>40</v>
      </c>
      <c r="AD6" t="s">
        <v>40</v>
      </c>
      <c r="AE6" t="s">
        <v>40</v>
      </c>
      <c r="AF6" t="s">
        <v>40</v>
      </c>
      <c r="AG6" s="1">
        <v>36417</v>
      </c>
      <c r="AH6">
        <v>1800</v>
      </c>
      <c r="AI6" t="s">
        <v>40</v>
      </c>
      <c r="AJ6" t="s">
        <v>40</v>
      </c>
      <c r="AK6" t="s">
        <v>40</v>
      </c>
      <c r="AL6" t="s">
        <v>40</v>
      </c>
      <c r="AN6" s="2" t="s">
        <v>56</v>
      </c>
      <c r="AO6">
        <v>89</v>
      </c>
    </row>
    <row r="7" spans="1:42" ht="409.6" x14ac:dyDescent="0.3">
      <c r="A7">
        <v>5717083</v>
      </c>
      <c r="B7" t="s">
        <v>57</v>
      </c>
      <c r="C7" t="str">
        <f>_xlfn.XLOOKUP(B7,Match!$A$2:$A$111,Match!$B$2:$B$111)</f>
        <v>Lee, FL</v>
      </c>
      <c r="D7" t="str">
        <f>_xlfn.XLOOKUP(C7,Validation!$B$2:$B$68,Validation!$A$2:$A$68)</f>
        <v>12071</v>
      </c>
      <c r="E7" t="s">
        <v>40</v>
      </c>
      <c r="F7" s="1">
        <v>36417</v>
      </c>
      <c r="G7">
        <v>1200</v>
      </c>
      <c r="H7" t="s">
        <v>41</v>
      </c>
      <c r="I7" t="s">
        <v>40</v>
      </c>
      <c r="J7" t="s">
        <v>40</v>
      </c>
      <c r="K7">
        <v>0</v>
      </c>
      <c r="L7">
        <v>0</v>
      </c>
      <c r="M7">
        <v>0</v>
      </c>
      <c r="N7">
        <v>0</v>
      </c>
      <c r="O7" t="s">
        <v>42</v>
      </c>
      <c r="P7" t="s">
        <v>43</v>
      </c>
      <c r="Q7" t="s">
        <v>40</v>
      </c>
      <c r="R7">
        <v>2412730</v>
      </c>
      <c r="S7" t="s">
        <v>44</v>
      </c>
      <c r="T7">
        <v>65</v>
      </c>
      <c r="U7" t="s">
        <v>54</v>
      </c>
      <c r="V7">
        <v>0</v>
      </c>
      <c r="W7">
        <v>0</v>
      </c>
      <c r="X7" t="s">
        <v>55</v>
      </c>
      <c r="Y7" t="s">
        <v>40</v>
      </c>
      <c r="Z7" t="s">
        <v>40</v>
      </c>
      <c r="AA7" t="s">
        <v>40</v>
      </c>
      <c r="AB7" t="s">
        <v>40</v>
      </c>
      <c r="AC7" t="s">
        <v>40</v>
      </c>
      <c r="AD7" t="s">
        <v>40</v>
      </c>
      <c r="AE7" t="s">
        <v>40</v>
      </c>
      <c r="AF7" t="s">
        <v>40</v>
      </c>
      <c r="AG7" s="1">
        <v>36417</v>
      </c>
      <c r="AH7">
        <v>1800</v>
      </c>
      <c r="AI7" t="s">
        <v>40</v>
      </c>
      <c r="AJ7" t="s">
        <v>40</v>
      </c>
      <c r="AK7" t="s">
        <v>40</v>
      </c>
      <c r="AL7" t="s">
        <v>40</v>
      </c>
      <c r="AN7" s="2" t="s">
        <v>56</v>
      </c>
      <c r="AO7">
        <v>90</v>
      </c>
    </row>
    <row r="8" spans="1:42" ht="409.6" x14ac:dyDescent="0.3">
      <c r="A8">
        <v>5717081</v>
      </c>
      <c r="B8" t="s">
        <v>58</v>
      </c>
      <c r="C8" t="str">
        <f>_xlfn.XLOOKUP(B8,Match!$A$2:$A$111,Match!$B$2:$B$111)</f>
        <v>Highlands, FL</v>
      </c>
      <c r="D8" t="str">
        <f>_xlfn.XLOOKUP(C8,Validation!$B$2:$B$68,Validation!$A$2:$A$68)</f>
        <v>12055</v>
      </c>
      <c r="E8" t="s">
        <v>40</v>
      </c>
      <c r="F8" s="1">
        <v>36417</v>
      </c>
      <c r="G8">
        <v>1200</v>
      </c>
      <c r="H8" t="s">
        <v>41</v>
      </c>
      <c r="I8" t="s">
        <v>40</v>
      </c>
      <c r="J8" t="s">
        <v>40</v>
      </c>
      <c r="K8">
        <v>0</v>
      </c>
      <c r="L8">
        <v>0</v>
      </c>
      <c r="M8">
        <v>0</v>
      </c>
      <c r="N8">
        <v>0</v>
      </c>
      <c r="O8" t="s">
        <v>42</v>
      </c>
      <c r="P8" t="s">
        <v>43</v>
      </c>
      <c r="Q8" t="s">
        <v>40</v>
      </c>
      <c r="R8">
        <v>2412730</v>
      </c>
      <c r="S8" t="s">
        <v>44</v>
      </c>
      <c r="T8">
        <v>57</v>
      </c>
      <c r="U8" t="s">
        <v>54</v>
      </c>
      <c r="V8">
        <v>0</v>
      </c>
      <c r="W8">
        <v>0</v>
      </c>
      <c r="X8" t="s">
        <v>55</v>
      </c>
      <c r="Y8" t="s">
        <v>40</v>
      </c>
      <c r="Z8" t="s">
        <v>40</v>
      </c>
      <c r="AA8" t="s">
        <v>40</v>
      </c>
      <c r="AB8" t="s">
        <v>40</v>
      </c>
      <c r="AC8" t="s">
        <v>40</v>
      </c>
      <c r="AD8" t="s">
        <v>40</v>
      </c>
      <c r="AE8" t="s">
        <v>40</v>
      </c>
      <c r="AF8" t="s">
        <v>40</v>
      </c>
      <c r="AG8" s="1">
        <v>36417</v>
      </c>
      <c r="AH8">
        <v>1800</v>
      </c>
      <c r="AI8" t="s">
        <v>40</v>
      </c>
      <c r="AJ8" t="s">
        <v>40</v>
      </c>
      <c r="AK8" t="s">
        <v>40</v>
      </c>
      <c r="AL8" t="s">
        <v>40</v>
      </c>
      <c r="AN8" s="2" t="s">
        <v>56</v>
      </c>
      <c r="AO8">
        <v>91</v>
      </c>
    </row>
    <row r="9" spans="1:42" ht="409.6" x14ac:dyDescent="0.3">
      <c r="A9">
        <v>5717080</v>
      </c>
      <c r="B9" t="s">
        <v>59</v>
      </c>
      <c r="C9" t="str">
        <f>_xlfn.XLOOKUP(B9,Match!$A$2:$A$111,Match!$B$2:$B$111)</f>
        <v>Charlotte, FL</v>
      </c>
      <c r="D9" t="str">
        <f>_xlfn.XLOOKUP(C9,Validation!$B$2:$B$68,Validation!$A$2:$A$68)</f>
        <v>12015</v>
      </c>
      <c r="E9" t="s">
        <v>40</v>
      </c>
      <c r="F9" s="1">
        <v>36417</v>
      </c>
      <c r="G9">
        <v>1200</v>
      </c>
      <c r="H9" t="s">
        <v>41</v>
      </c>
      <c r="I9" t="s">
        <v>40</v>
      </c>
      <c r="J9" t="s">
        <v>40</v>
      </c>
      <c r="K9">
        <v>0</v>
      </c>
      <c r="L9">
        <v>0</v>
      </c>
      <c r="M9">
        <v>0</v>
      </c>
      <c r="N9">
        <v>0</v>
      </c>
      <c r="O9" t="s">
        <v>42</v>
      </c>
      <c r="P9" t="s">
        <v>43</v>
      </c>
      <c r="Q9" t="s">
        <v>40</v>
      </c>
      <c r="R9">
        <v>2412730</v>
      </c>
      <c r="S9" t="s">
        <v>44</v>
      </c>
      <c r="T9">
        <v>62</v>
      </c>
      <c r="U9" t="s">
        <v>54</v>
      </c>
      <c r="V9">
        <v>0</v>
      </c>
      <c r="W9">
        <v>0</v>
      </c>
      <c r="X9" t="s">
        <v>55</v>
      </c>
      <c r="Y9" t="s">
        <v>40</v>
      </c>
      <c r="Z9" t="s">
        <v>40</v>
      </c>
      <c r="AA9" t="s">
        <v>40</v>
      </c>
      <c r="AB9" t="s">
        <v>40</v>
      </c>
      <c r="AC9" t="s">
        <v>40</v>
      </c>
      <c r="AD9" t="s">
        <v>40</v>
      </c>
      <c r="AE9" t="s">
        <v>40</v>
      </c>
      <c r="AF9" t="s">
        <v>40</v>
      </c>
      <c r="AG9" s="1">
        <v>36417</v>
      </c>
      <c r="AH9">
        <v>1800</v>
      </c>
      <c r="AI9" t="s">
        <v>40</v>
      </c>
      <c r="AJ9" t="s">
        <v>40</v>
      </c>
      <c r="AK9" t="s">
        <v>40</v>
      </c>
      <c r="AL9" t="s">
        <v>40</v>
      </c>
      <c r="AN9" s="2" t="s">
        <v>56</v>
      </c>
      <c r="AO9">
        <v>92</v>
      </c>
    </row>
    <row r="10" spans="1:42" ht="409.6" x14ac:dyDescent="0.3">
      <c r="A10">
        <v>5717079</v>
      </c>
      <c r="B10" t="s">
        <v>60</v>
      </c>
      <c r="C10" t="str">
        <f>_xlfn.XLOOKUP(B10,Match!$A$2:$A$111,Match!$B$2:$B$111)</f>
        <v>Polk, FL</v>
      </c>
      <c r="D10" t="str">
        <f>_xlfn.XLOOKUP(C10,Validation!$B$2:$B$68,Validation!$A$2:$A$68)</f>
        <v>12105</v>
      </c>
      <c r="E10" t="s">
        <v>40</v>
      </c>
      <c r="F10" s="1">
        <v>36417</v>
      </c>
      <c r="G10">
        <v>1200</v>
      </c>
      <c r="H10" t="s">
        <v>41</v>
      </c>
      <c r="I10" t="s">
        <v>40</v>
      </c>
      <c r="J10" t="s">
        <v>40</v>
      </c>
      <c r="K10">
        <v>0</v>
      </c>
      <c r="L10">
        <v>0</v>
      </c>
      <c r="M10">
        <v>20000</v>
      </c>
      <c r="N10">
        <v>0</v>
      </c>
      <c r="O10" t="s">
        <v>42</v>
      </c>
      <c r="P10" t="s">
        <v>43</v>
      </c>
      <c r="Q10" t="s">
        <v>40</v>
      </c>
      <c r="R10">
        <v>2412730</v>
      </c>
      <c r="S10" t="s">
        <v>44</v>
      </c>
      <c r="T10">
        <v>52</v>
      </c>
      <c r="U10" t="s">
        <v>54</v>
      </c>
      <c r="V10">
        <v>0</v>
      </c>
      <c r="W10">
        <v>0</v>
      </c>
      <c r="X10" t="s">
        <v>55</v>
      </c>
      <c r="Y10" t="s">
        <v>40</v>
      </c>
      <c r="Z10" t="s">
        <v>40</v>
      </c>
      <c r="AA10" t="s">
        <v>40</v>
      </c>
      <c r="AB10" t="s">
        <v>40</v>
      </c>
      <c r="AC10" t="s">
        <v>40</v>
      </c>
      <c r="AD10" t="s">
        <v>40</v>
      </c>
      <c r="AE10" t="s">
        <v>40</v>
      </c>
      <c r="AF10" t="s">
        <v>40</v>
      </c>
      <c r="AG10" s="1">
        <v>36417</v>
      </c>
      <c r="AH10">
        <v>1800</v>
      </c>
      <c r="AI10" t="s">
        <v>40</v>
      </c>
      <c r="AJ10" t="s">
        <v>40</v>
      </c>
      <c r="AK10" t="s">
        <v>40</v>
      </c>
      <c r="AL10" t="s">
        <v>40</v>
      </c>
      <c r="AN10" s="2" t="s">
        <v>56</v>
      </c>
      <c r="AO10">
        <v>93</v>
      </c>
    </row>
    <row r="11" spans="1:42" ht="409.6" x14ac:dyDescent="0.3">
      <c r="A11">
        <v>5717082</v>
      </c>
      <c r="B11" t="s">
        <v>61</v>
      </c>
      <c r="C11" t="str">
        <f>_xlfn.XLOOKUP(B11,Match!$A$2:$A$111,Match!$B$2:$B$111)</f>
        <v>Hillsborough, FL</v>
      </c>
      <c r="D11" t="str">
        <f>_xlfn.XLOOKUP(C11,Validation!$B$2:$B$68,Validation!$A$2:$A$68)</f>
        <v>12057</v>
      </c>
      <c r="E11" t="s">
        <v>40</v>
      </c>
      <c r="F11" s="1">
        <v>36417</v>
      </c>
      <c r="G11">
        <v>1200</v>
      </c>
      <c r="H11" t="s">
        <v>41</v>
      </c>
      <c r="I11" t="s">
        <v>40</v>
      </c>
      <c r="J11" t="s">
        <v>40</v>
      </c>
      <c r="K11">
        <v>0</v>
      </c>
      <c r="L11">
        <v>0</v>
      </c>
      <c r="M11">
        <v>0</v>
      </c>
      <c r="N11">
        <v>0</v>
      </c>
      <c r="O11" t="s">
        <v>42</v>
      </c>
      <c r="P11" t="s">
        <v>43</v>
      </c>
      <c r="Q11" t="s">
        <v>40</v>
      </c>
      <c r="R11">
        <v>2412730</v>
      </c>
      <c r="S11" t="s">
        <v>44</v>
      </c>
      <c r="T11">
        <v>51</v>
      </c>
      <c r="U11" t="s">
        <v>54</v>
      </c>
      <c r="V11">
        <v>0</v>
      </c>
      <c r="W11">
        <v>0</v>
      </c>
      <c r="X11" t="s">
        <v>55</v>
      </c>
      <c r="Y11" t="s">
        <v>40</v>
      </c>
      <c r="Z11" t="s">
        <v>40</v>
      </c>
      <c r="AA11" t="s">
        <v>40</v>
      </c>
      <c r="AB11" t="s">
        <v>40</v>
      </c>
      <c r="AC11" t="s">
        <v>40</v>
      </c>
      <c r="AD11" t="s">
        <v>40</v>
      </c>
      <c r="AE11" t="s">
        <v>40</v>
      </c>
      <c r="AF11" t="s">
        <v>40</v>
      </c>
      <c r="AG11" s="1">
        <v>36417</v>
      </c>
      <c r="AH11">
        <v>1800</v>
      </c>
      <c r="AI11" t="s">
        <v>40</v>
      </c>
      <c r="AJ11" t="s">
        <v>40</v>
      </c>
      <c r="AK11" t="s">
        <v>40</v>
      </c>
      <c r="AL11" t="s">
        <v>40</v>
      </c>
      <c r="AN11" s="2" t="s">
        <v>56</v>
      </c>
      <c r="AO11">
        <v>94</v>
      </c>
    </row>
    <row r="12" spans="1:42" ht="409.6" x14ac:dyDescent="0.3">
      <c r="A12">
        <v>5717085</v>
      </c>
      <c r="B12" t="s">
        <v>62</v>
      </c>
      <c r="C12" t="str">
        <f>_xlfn.XLOOKUP(B12,Match!$A$2:$A$111,Match!$B$2:$B$111)</f>
        <v>Sarasota, FL</v>
      </c>
      <c r="D12" t="str">
        <f>_xlfn.XLOOKUP(C12,Validation!$B$2:$B$68,Validation!$A$2:$A$68)</f>
        <v>12115</v>
      </c>
      <c r="E12" t="s">
        <v>40</v>
      </c>
      <c r="F12" s="1">
        <v>36417</v>
      </c>
      <c r="G12">
        <v>1200</v>
      </c>
      <c r="H12" t="s">
        <v>41</v>
      </c>
      <c r="I12" t="s">
        <v>40</v>
      </c>
      <c r="J12" t="s">
        <v>40</v>
      </c>
      <c r="K12">
        <v>0</v>
      </c>
      <c r="L12">
        <v>0</v>
      </c>
      <c r="M12">
        <v>0</v>
      </c>
      <c r="N12">
        <v>0</v>
      </c>
      <c r="O12" t="s">
        <v>42</v>
      </c>
      <c r="P12" t="s">
        <v>43</v>
      </c>
      <c r="Q12" t="s">
        <v>40</v>
      </c>
      <c r="R12">
        <v>2412730</v>
      </c>
      <c r="S12" t="s">
        <v>44</v>
      </c>
      <c r="T12">
        <v>60</v>
      </c>
      <c r="U12" t="s">
        <v>54</v>
      </c>
      <c r="V12">
        <v>0</v>
      </c>
      <c r="W12">
        <v>0</v>
      </c>
      <c r="X12" t="s">
        <v>55</v>
      </c>
      <c r="Y12" t="s">
        <v>40</v>
      </c>
      <c r="Z12" t="s">
        <v>40</v>
      </c>
      <c r="AA12" t="s">
        <v>40</v>
      </c>
      <c r="AB12" t="s">
        <v>40</v>
      </c>
      <c r="AC12" t="s">
        <v>40</v>
      </c>
      <c r="AD12" t="s">
        <v>40</v>
      </c>
      <c r="AE12" t="s">
        <v>40</v>
      </c>
      <c r="AF12" t="s">
        <v>40</v>
      </c>
      <c r="AG12" s="1">
        <v>36417</v>
      </c>
      <c r="AH12">
        <v>1800</v>
      </c>
      <c r="AI12" t="s">
        <v>40</v>
      </c>
      <c r="AJ12" t="s">
        <v>40</v>
      </c>
      <c r="AK12" t="s">
        <v>40</v>
      </c>
      <c r="AL12" t="s">
        <v>40</v>
      </c>
      <c r="AN12" s="2" t="s">
        <v>56</v>
      </c>
      <c r="AO12">
        <v>95</v>
      </c>
    </row>
    <row r="13" spans="1:42" ht="409.6" x14ac:dyDescent="0.3">
      <c r="A13">
        <v>5717084</v>
      </c>
      <c r="B13" t="s">
        <v>63</v>
      </c>
      <c r="C13" t="str">
        <f>_xlfn.XLOOKUP(B13,Match!$A$2:$A$111,Match!$B$2:$B$111)</f>
        <v>Manatee, FL</v>
      </c>
      <c r="D13" t="str">
        <f>_xlfn.XLOOKUP(C13,Validation!$B$2:$B$68,Validation!$A$2:$A$68)</f>
        <v>12081</v>
      </c>
      <c r="E13" t="s">
        <v>40</v>
      </c>
      <c r="F13" s="1">
        <v>36417</v>
      </c>
      <c r="G13">
        <v>1200</v>
      </c>
      <c r="H13" t="s">
        <v>41</v>
      </c>
      <c r="I13" t="s">
        <v>40</v>
      </c>
      <c r="J13" t="s">
        <v>40</v>
      </c>
      <c r="K13">
        <v>0</v>
      </c>
      <c r="L13">
        <v>0</v>
      </c>
      <c r="M13">
        <v>0</v>
      </c>
      <c r="N13">
        <v>0</v>
      </c>
      <c r="O13" t="s">
        <v>42</v>
      </c>
      <c r="P13" t="s">
        <v>43</v>
      </c>
      <c r="Q13" t="s">
        <v>40</v>
      </c>
      <c r="R13">
        <v>2412730</v>
      </c>
      <c r="S13" t="s">
        <v>44</v>
      </c>
      <c r="T13">
        <v>55</v>
      </c>
      <c r="U13" t="s">
        <v>54</v>
      </c>
      <c r="V13">
        <v>0</v>
      </c>
      <c r="W13">
        <v>0</v>
      </c>
      <c r="X13" t="s">
        <v>55</v>
      </c>
      <c r="Y13" t="s">
        <v>40</v>
      </c>
      <c r="Z13" t="s">
        <v>40</v>
      </c>
      <c r="AA13" t="s">
        <v>40</v>
      </c>
      <c r="AB13" t="s">
        <v>40</v>
      </c>
      <c r="AC13" t="s">
        <v>40</v>
      </c>
      <c r="AD13" t="s">
        <v>40</v>
      </c>
      <c r="AE13" t="s">
        <v>40</v>
      </c>
      <c r="AF13" t="s">
        <v>40</v>
      </c>
      <c r="AG13" s="1">
        <v>36417</v>
      </c>
      <c r="AH13">
        <v>1800</v>
      </c>
      <c r="AI13" t="s">
        <v>40</v>
      </c>
      <c r="AJ13" t="s">
        <v>40</v>
      </c>
      <c r="AK13" t="s">
        <v>40</v>
      </c>
      <c r="AL13" t="s">
        <v>40</v>
      </c>
      <c r="AN13" s="2" t="s">
        <v>56</v>
      </c>
      <c r="AO13">
        <v>96</v>
      </c>
    </row>
    <row r="14" spans="1:42" ht="409.6" x14ac:dyDescent="0.3">
      <c r="A14">
        <v>5717087</v>
      </c>
      <c r="B14" t="s">
        <v>64</v>
      </c>
      <c r="C14" t="str">
        <f>_xlfn.XLOOKUP(B14,Match!$A$2:$A$111,Match!$B$2:$B$111)</f>
        <v>Hardee, FL</v>
      </c>
      <c r="D14" t="str">
        <f>_xlfn.XLOOKUP(C14,Validation!$B$2:$B$68,Validation!$A$2:$A$68)</f>
        <v>12049</v>
      </c>
      <c r="E14" t="s">
        <v>40</v>
      </c>
      <c r="F14" s="1">
        <v>36417</v>
      </c>
      <c r="G14">
        <v>1200</v>
      </c>
      <c r="H14" t="s">
        <v>41</v>
      </c>
      <c r="I14" t="s">
        <v>40</v>
      </c>
      <c r="J14" t="s">
        <v>40</v>
      </c>
      <c r="K14">
        <v>0</v>
      </c>
      <c r="L14">
        <v>0</v>
      </c>
      <c r="M14">
        <v>0</v>
      </c>
      <c r="N14">
        <v>0</v>
      </c>
      <c r="O14" t="s">
        <v>42</v>
      </c>
      <c r="P14" t="s">
        <v>43</v>
      </c>
      <c r="Q14" t="s">
        <v>40</v>
      </c>
      <c r="R14">
        <v>2412730</v>
      </c>
      <c r="S14" t="s">
        <v>44</v>
      </c>
      <c r="T14">
        <v>56</v>
      </c>
      <c r="U14" t="s">
        <v>54</v>
      </c>
      <c r="V14">
        <v>0</v>
      </c>
      <c r="W14">
        <v>0</v>
      </c>
      <c r="X14" t="s">
        <v>55</v>
      </c>
      <c r="Y14" t="s">
        <v>40</v>
      </c>
      <c r="Z14" t="s">
        <v>40</v>
      </c>
      <c r="AA14" t="s">
        <v>40</v>
      </c>
      <c r="AB14" t="s">
        <v>40</v>
      </c>
      <c r="AC14" t="s">
        <v>40</v>
      </c>
      <c r="AD14" t="s">
        <v>40</v>
      </c>
      <c r="AE14" t="s">
        <v>40</v>
      </c>
      <c r="AF14" t="s">
        <v>40</v>
      </c>
      <c r="AG14" s="1">
        <v>36417</v>
      </c>
      <c r="AH14">
        <v>1800</v>
      </c>
      <c r="AI14" t="s">
        <v>40</v>
      </c>
      <c r="AJ14" t="s">
        <v>40</v>
      </c>
      <c r="AK14" t="s">
        <v>40</v>
      </c>
      <c r="AL14" t="s">
        <v>40</v>
      </c>
      <c r="AN14" s="2" t="s">
        <v>56</v>
      </c>
      <c r="AO14">
        <v>97</v>
      </c>
    </row>
    <row r="15" spans="1:42" ht="409.6" x14ac:dyDescent="0.3">
      <c r="A15">
        <v>5717618</v>
      </c>
      <c r="B15" t="s">
        <v>65</v>
      </c>
      <c r="C15" t="str">
        <f>_xlfn.XLOOKUP(B15,Match!$A$2:$A$111,Match!$B$2:$B$111)</f>
        <v>St. Lucie, FL</v>
      </c>
      <c r="D15" t="str">
        <f>_xlfn.XLOOKUP(C15,Validation!$B$2:$B$68,Validation!$A$2:$A$68)</f>
        <v>12111</v>
      </c>
      <c r="E15" t="s">
        <v>40</v>
      </c>
      <c r="F15" s="1">
        <v>36417</v>
      </c>
      <c r="G15">
        <v>2000</v>
      </c>
      <c r="H15" t="s">
        <v>41</v>
      </c>
      <c r="I15" t="s">
        <v>40</v>
      </c>
      <c r="J15" t="s">
        <v>40</v>
      </c>
      <c r="K15">
        <v>0</v>
      </c>
      <c r="L15">
        <v>0</v>
      </c>
      <c r="M15">
        <v>50000</v>
      </c>
      <c r="N15">
        <v>0</v>
      </c>
      <c r="O15" t="s">
        <v>42</v>
      </c>
      <c r="P15" t="s">
        <v>43</v>
      </c>
      <c r="Q15" t="s">
        <v>40</v>
      </c>
      <c r="R15">
        <v>2413683</v>
      </c>
      <c r="S15" t="s">
        <v>44</v>
      </c>
      <c r="T15">
        <v>59</v>
      </c>
      <c r="U15" t="s">
        <v>66</v>
      </c>
      <c r="V15">
        <v>0</v>
      </c>
      <c r="W15">
        <v>0</v>
      </c>
      <c r="X15" t="s">
        <v>67</v>
      </c>
      <c r="Y15" t="s">
        <v>40</v>
      </c>
      <c r="Z15" t="s">
        <v>40</v>
      </c>
      <c r="AA15" t="s">
        <v>40</v>
      </c>
      <c r="AB15" t="s">
        <v>40</v>
      </c>
      <c r="AC15" t="s">
        <v>40</v>
      </c>
      <c r="AD15" t="s">
        <v>40</v>
      </c>
      <c r="AE15" t="s">
        <v>40</v>
      </c>
      <c r="AF15" t="s">
        <v>40</v>
      </c>
      <c r="AG15" s="1">
        <v>36418</v>
      </c>
      <c r="AH15">
        <v>1200</v>
      </c>
      <c r="AI15" t="s">
        <v>40</v>
      </c>
      <c r="AJ15" t="s">
        <v>40</v>
      </c>
      <c r="AK15" t="s">
        <v>40</v>
      </c>
      <c r="AL15" t="s">
        <v>40</v>
      </c>
      <c r="AN15" s="2" t="s">
        <v>68</v>
      </c>
      <c r="AO15">
        <v>98</v>
      </c>
    </row>
    <row r="16" spans="1:42" ht="409.6" x14ac:dyDescent="0.3">
      <c r="A16">
        <v>5717615</v>
      </c>
      <c r="B16" t="s">
        <v>69</v>
      </c>
      <c r="C16" t="str">
        <f>_xlfn.XLOOKUP(B16,Match!$A$2:$A$111,Match!$B$2:$B$111)</f>
        <v>Seminole, FL</v>
      </c>
      <c r="D16" t="str">
        <f>_xlfn.XLOOKUP(C16,Validation!$B$2:$B$68,Validation!$A$2:$A$68)</f>
        <v>12117</v>
      </c>
      <c r="E16" t="s">
        <v>40</v>
      </c>
      <c r="F16" s="1">
        <v>36417</v>
      </c>
      <c r="G16">
        <v>2200</v>
      </c>
      <c r="H16" t="s">
        <v>41</v>
      </c>
      <c r="I16" t="s">
        <v>40</v>
      </c>
      <c r="J16" t="s">
        <v>40</v>
      </c>
      <c r="K16">
        <v>0</v>
      </c>
      <c r="L16">
        <v>0</v>
      </c>
      <c r="M16">
        <v>400000</v>
      </c>
      <c r="N16">
        <v>0</v>
      </c>
      <c r="O16" t="s">
        <v>42</v>
      </c>
      <c r="P16" t="s">
        <v>43</v>
      </c>
      <c r="Q16" t="s">
        <v>40</v>
      </c>
      <c r="R16">
        <v>2413683</v>
      </c>
      <c r="S16" t="s">
        <v>44</v>
      </c>
      <c r="T16">
        <v>46</v>
      </c>
      <c r="U16" t="s">
        <v>66</v>
      </c>
      <c r="V16">
        <v>0</v>
      </c>
      <c r="W16">
        <v>0</v>
      </c>
      <c r="X16" t="s">
        <v>67</v>
      </c>
      <c r="Y16" t="s">
        <v>40</v>
      </c>
      <c r="Z16" t="s">
        <v>40</v>
      </c>
      <c r="AA16" t="s">
        <v>40</v>
      </c>
      <c r="AB16" t="s">
        <v>40</v>
      </c>
      <c r="AC16" t="s">
        <v>40</v>
      </c>
      <c r="AD16" t="s">
        <v>40</v>
      </c>
      <c r="AE16" t="s">
        <v>40</v>
      </c>
      <c r="AF16" t="s">
        <v>40</v>
      </c>
      <c r="AG16" s="1">
        <v>36418</v>
      </c>
      <c r="AH16">
        <v>1600</v>
      </c>
      <c r="AI16" t="s">
        <v>40</v>
      </c>
      <c r="AJ16" t="s">
        <v>40</v>
      </c>
      <c r="AK16" t="s">
        <v>40</v>
      </c>
      <c r="AL16" t="s">
        <v>40</v>
      </c>
      <c r="AN16" s="2" t="s">
        <v>68</v>
      </c>
      <c r="AO16">
        <v>99</v>
      </c>
    </row>
    <row r="17" spans="1:41" ht="409.6" x14ac:dyDescent="0.3">
      <c r="A17">
        <v>5723962</v>
      </c>
      <c r="B17" t="s">
        <v>70</v>
      </c>
      <c r="C17" t="str">
        <f>_xlfn.XLOOKUP(B17,Match!$A$2:$A$111,Match!$B$2:$B$111)</f>
        <v>Brevard, FL</v>
      </c>
      <c r="D17" t="str">
        <f>_xlfn.XLOOKUP(C17,Validation!$B$2:$B$68,Validation!$A$2:$A$68)</f>
        <v>12009</v>
      </c>
      <c r="E17" t="s">
        <v>40</v>
      </c>
      <c r="F17" s="1">
        <v>36417</v>
      </c>
      <c r="G17">
        <v>2200</v>
      </c>
      <c r="H17" t="s">
        <v>41</v>
      </c>
      <c r="I17" t="s">
        <v>40</v>
      </c>
      <c r="J17" t="s">
        <v>40</v>
      </c>
      <c r="K17">
        <v>0</v>
      </c>
      <c r="L17">
        <v>0</v>
      </c>
      <c r="M17">
        <v>5000000</v>
      </c>
      <c r="N17">
        <v>0</v>
      </c>
      <c r="O17" t="s">
        <v>42</v>
      </c>
      <c r="P17" t="s">
        <v>43</v>
      </c>
      <c r="Q17" t="s">
        <v>40</v>
      </c>
      <c r="R17">
        <v>2413683</v>
      </c>
      <c r="S17" t="s">
        <v>44</v>
      </c>
      <c r="T17">
        <v>47</v>
      </c>
      <c r="U17" t="s">
        <v>66</v>
      </c>
      <c r="V17">
        <v>0</v>
      </c>
      <c r="W17">
        <v>0</v>
      </c>
      <c r="X17" t="s">
        <v>67</v>
      </c>
      <c r="Y17" t="s">
        <v>40</v>
      </c>
      <c r="Z17" t="s">
        <v>40</v>
      </c>
      <c r="AA17" t="s">
        <v>40</v>
      </c>
      <c r="AB17" t="s">
        <v>40</v>
      </c>
      <c r="AC17" t="s">
        <v>40</v>
      </c>
      <c r="AD17" t="s">
        <v>40</v>
      </c>
      <c r="AE17" t="s">
        <v>40</v>
      </c>
      <c r="AF17" t="s">
        <v>40</v>
      </c>
      <c r="AG17" s="1">
        <v>36418</v>
      </c>
      <c r="AH17">
        <v>1600</v>
      </c>
      <c r="AI17" t="s">
        <v>40</v>
      </c>
      <c r="AJ17" t="s">
        <v>40</v>
      </c>
      <c r="AK17" t="s">
        <v>40</v>
      </c>
      <c r="AL17" t="s">
        <v>40</v>
      </c>
      <c r="AN17" s="2" t="s">
        <v>68</v>
      </c>
      <c r="AO17">
        <v>100</v>
      </c>
    </row>
    <row r="18" spans="1:41" ht="409.6" x14ac:dyDescent="0.3">
      <c r="A18">
        <v>5717617</v>
      </c>
      <c r="B18" t="s">
        <v>71</v>
      </c>
      <c r="C18" t="str">
        <f>_xlfn.XLOOKUP(B18,Match!$A$2:$A$111,Match!$B$2:$B$111)</f>
        <v>Indian River, FL</v>
      </c>
      <c r="D18" t="str">
        <f>_xlfn.XLOOKUP(C18,Validation!$B$2:$B$68,Validation!$A$2:$A$68)</f>
        <v>12061</v>
      </c>
      <c r="E18" t="s">
        <v>40</v>
      </c>
      <c r="F18" s="1">
        <v>36417</v>
      </c>
      <c r="G18">
        <v>2200</v>
      </c>
      <c r="H18" t="s">
        <v>41</v>
      </c>
      <c r="I18" t="s">
        <v>40</v>
      </c>
      <c r="J18" t="s">
        <v>40</v>
      </c>
      <c r="K18">
        <v>0</v>
      </c>
      <c r="L18">
        <v>0</v>
      </c>
      <c r="M18">
        <v>50000</v>
      </c>
      <c r="N18">
        <v>0</v>
      </c>
      <c r="O18" t="s">
        <v>42</v>
      </c>
      <c r="P18" t="s">
        <v>43</v>
      </c>
      <c r="Q18" t="s">
        <v>40</v>
      </c>
      <c r="R18">
        <v>2413683</v>
      </c>
      <c r="S18" t="s">
        <v>44</v>
      </c>
      <c r="T18">
        <v>54</v>
      </c>
      <c r="U18" t="s">
        <v>66</v>
      </c>
      <c r="V18">
        <v>0</v>
      </c>
      <c r="W18">
        <v>0</v>
      </c>
      <c r="X18" t="s">
        <v>67</v>
      </c>
      <c r="Y18" t="s">
        <v>40</v>
      </c>
      <c r="Z18" t="s">
        <v>40</v>
      </c>
      <c r="AA18" t="s">
        <v>40</v>
      </c>
      <c r="AB18" t="s">
        <v>40</v>
      </c>
      <c r="AC18" t="s">
        <v>40</v>
      </c>
      <c r="AD18" t="s">
        <v>40</v>
      </c>
      <c r="AE18" t="s">
        <v>40</v>
      </c>
      <c r="AF18" t="s">
        <v>40</v>
      </c>
      <c r="AG18" s="1">
        <v>36418</v>
      </c>
      <c r="AH18">
        <v>1600</v>
      </c>
      <c r="AI18" t="s">
        <v>40</v>
      </c>
      <c r="AJ18" t="s">
        <v>40</v>
      </c>
      <c r="AK18" t="s">
        <v>40</v>
      </c>
      <c r="AL18" t="s">
        <v>40</v>
      </c>
      <c r="AN18" s="2" t="s">
        <v>68</v>
      </c>
      <c r="AO18">
        <v>101</v>
      </c>
    </row>
    <row r="19" spans="1:41" ht="409.6" x14ac:dyDescent="0.3">
      <c r="A19">
        <v>5717616</v>
      </c>
      <c r="B19" t="s">
        <v>72</v>
      </c>
      <c r="C19" t="str">
        <f>_xlfn.XLOOKUP(B19,Match!$A$2:$A$111,Match!$B$2:$B$111)</f>
        <v>Orange, FL</v>
      </c>
      <c r="D19" t="str">
        <f>_xlfn.XLOOKUP(C19,Validation!$B$2:$B$68,Validation!$A$2:$A$68)</f>
        <v>12095</v>
      </c>
      <c r="E19" t="s">
        <v>40</v>
      </c>
      <c r="F19" s="1">
        <v>36417</v>
      </c>
      <c r="G19">
        <v>2200</v>
      </c>
      <c r="H19" t="s">
        <v>41</v>
      </c>
      <c r="I19" t="s">
        <v>40</v>
      </c>
      <c r="J19" t="s">
        <v>40</v>
      </c>
      <c r="K19">
        <v>0</v>
      </c>
      <c r="L19">
        <v>0</v>
      </c>
      <c r="M19">
        <v>500000</v>
      </c>
      <c r="N19">
        <v>0</v>
      </c>
      <c r="O19" t="s">
        <v>42</v>
      </c>
      <c r="P19" t="s">
        <v>43</v>
      </c>
      <c r="Q19" t="s">
        <v>40</v>
      </c>
      <c r="R19">
        <v>2413683</v>
      </c>
      <c r="S19" t="s">
        <v>44</v>
      </c>
      <c r="T19">
        <v>45</v>
      </c>
      <c r="U19" t="s">
        <v>66</v>
      </c>
      <c r="V19">
        <v>0</v>
      </c>
      <c r="W19">
        <v>0</v>
      </c>
      <c r="X19" t="s">
        <v>67</v>
      </c>
      <c r="Y19" t="s">
        <v>40</v>
      </c>
      <c r="Z19" t="s">
        <v>40</v>
      </c>
      <c r="AA19" t="s">
        <v>40</v>
      </c>
      <c r="AB19" t="s">
        <v>40</v>
      </c>
      <c r="AC19" t="s">
        <v>40</v>
      </c>
      <c r="AD19" t="s">
        <v>40</v>
      </c>
      <c r="AE19" t="s">
        <v>40</v>
      </c>
      <c r="AF19" t="s">
        <v>40</v>
      </c>
      <c r="AG19" s="1">
        <v>36418</v>
      </c>
      <c r="AH19">
        <v>1600</v>
      </c>
      <c r="AI19" t="s">
        <v>40</v>
      </c>
      <c r="AJ19" t="s">
        <v>40</v>
      </c>
      <c r="AK19" t="s">
        <v>40</v>
      </c>
      <c r="AL19" t="s">
        <v>40</v>
      </c>
      <c r="AN19" s="2" t="s">
        <v>68</v>
      </c>
      <c r="AO19">
        <v>102</v>
      </c>
    </row>
    <row r="20" spans="1:41" ht="409.6" x14ac:dyDescent="0.3">
      <c r="A20">
        <v>5717614</v>
      </c>
      <c r="B20" t="s">
        <v>73</v>
      </c>
      <c r="C20" t="str">
        <f>_xlfn.XLOOKUP(B20,Match!$A$2:$A$111,Match!$B$2:$B$111)</f>
        <v>Volusia, FL</v>
      </c>
      <c r="D20" t="str">
        <f>_xlfn.XLOOKUP(C20,Validation!$B$2:$B$68,Validation!$A$2:$A$68)</f>
        <v>12127</v>
      </c>
      <c r="E20" t="s">
        <v>40</v>
      </c>
      <c r="F20" s="1">
        <v>36418</v>
      </c>
      <c r="G20">
        <v>200</v>
      </c>
      <c r="H20" t="s">
        <v>41</v>
      </c>
      <c r="I20" t="s">
        <v>40</v>
      </c>
      <c r="J20" t="s">
        <v>40</v>
      </c>
      <c r="K20">
        <v>0</v>
      </c>
      <c r="L20">
        <v>0</v>
      </c>
      <c r="M20">
        <v>55000000</v>
      </c>
      <c r="N20">
        <v>0</v>
      </c>
      <c r="O20" t="s">
        <v>42</v>
      </c>
      <c r="P20" t="s">
        <v>43</v>
      </c>
      <c r="Q20" t="s">
        <v>40</v>
      </c>
      <c r="R20">
        <v>2413683</v>
      </c>
      <c r="S20" t="s">
        <v>44</v>
      </c>
      <c r="T20">
        <v>41</v>
      </c>
      <c r="U20" t="s">
        <v>66</v>
      </c>
      <c r="V20">
        <v>0</v>
      </c>
      <c r="W20">
        <v>0</v>
      </c>
      <c r="X20" t="s">
        <v>67</v>
      </c>
      <c r="Y20" t="s">
        <v>40</v>
      </c>
      <c r="Z20" t="s">
        <v>40</v>
      </c>
      <c r="AA20" t="s">
        <v>40</v>
      </c>
      <c r="AB20" t="s">
        <v>40</v>
      </c>
      <c r="AC20" t="s">
        <v>40</v>
      </c>
      <c r="AD20" t="s">
        <v>40</v>
      </c>
      <c r="AE20" t="s">
        <v>40</v>
      </c>
      <c r="AF20" t="s">
        <v>40</v>
      </c>
      <c r="AG20" s="1">
        <v>36418</v>
      </c>
      <c r="AH20">
        <v>2000</v>
      </c>
      <c r="AI20" t="s">
        <v>40</v>
      </c>
      <c r="AJ20" t="s">
        <v>40</v>
      </c>
      <c r="AK20" t="s">
        <v>40</v>
      </c>
      <c r="AL20" t="s">
        <v>40</v>
      </c>
      <c r="AN20" s="2" t="s">
        <v>68</v>
      </c>
      <c r="AO20">
        <v>103</v>
      </c>
    </row>
    <row r="21" spans="1:41" x14ac:dyDescent="0.3">
      <c r="A21">
        <v>5717693</v>
      </c>
      <c r="B21" t="s">
        <v>74</v>
      </c>
      <c r="C21" t="str">
        <f>_xlfn.XLOOKUP(B21,Match!$A$2:$A$111,Match!$B$2:$B$111)</f>
        <v>Flagler, FL</v>
      </c>
      <c r="D21" t="str">
        <f>_xlfn.XLOOKUP(C21,Validation!$B$2:$B$68,Validation!$A$2:$A$68)</f>
        <v>12035</v>
      </c>
      <c r="E21" t="s">
        <v>40</v>
      </c>
      <c r="F21" s="1">
        <v>36418</v>
      </c>
      <c r="G21">
        <v>300</v>
      </c>
      <c r="H21" t="s">
        <v>41</v>
      </c>
      <c r="I21" t="s">
        <v>40</v>
      </c>
      <c r="J21" t="s">
        <v>40</v>
      </c>
      <c r="K21">
        <v>0</v>
      </c>
      <c r="L21">
        <v>0</v>
      </c>
      <c r="M21">
        <v>60000</v>
      </c>
      <c r="N21">
        <v>0</v>
      </c>
      <c r="O21" t="s">
        <v>42</v>
      </c>
      <c r="P21" t="s">
        <v>43</v>
      </c>
      <c r="Q21" t="s">
        <v>40</v>
      </c>
      <c r="R21">
        <v>2412879</v>
      </c>
      <c r="S21" t="s">
        <v>44</v>
      </c>
      <c r="T21">
        <v>38</v>
      </c>
      <c r="U21" t="s">
        <v>75</v>
      </c>
      <c r="V21">
        <v>0</v>
      </c>
      <c r="W21">
        <v>0</v>
      </c>
      <c r="X21" t="s">
        <v>67</v>
      </c>
      <c r="Y21" t="s">
        <v>40</v>
      </c>
      <c r="Z21" t="s">
        <v>40</v>
      </c>
      <c r="AA21" t="s">
        <v>40</v>
      </c>
      <c r="AB21" t="s">
        <v>40</v>
      </c>
      <c r="AC21" t="s">
        <v>40</v>
      </c>
      <c r="AD21" t="s">
        <v>40</v>
      </c>
      <c r="AE21" t="s">
        <v>40</v>
      </c>
      <c r="AF21" t="s">
        <v>40</v>
      </c>
      <c r="AG21" s="1">
        <v>36418</v>
      </c>
      <c r="AH21">
        <v>1800</v>
      </c>
      <c r="AI21" t="s">
        <v>40</v>
      </c>
      <c r="AJ21" t="s">
        <v>40</v>
      </c>
      <c r="AK21" t="s">
        <v>40</v>
      </c>
      <c r="AL21" t="s">
        <v>40</v>
      </c>
      <c r="AN21" t="s">
        <v>76</v>
      </c>
      <c r="AO21">
        <v>104</v>
      </c>
    </row>
    <row r="22" spans="1:41" x14ac:dyDescent="0.3">
      <c r="A22">
        <v>5717694</v>
      </c>
      <c r="B22" t="s">
        <v>77</v>
      </c>
      <c r="C22" t="str">
        <f>_xlfn.XLOOKUP(B22,Match!$A$2:$A$111,Match!$B$2:$B$111)</f>
        <v>St. Johns, FL</v>
      </c>
      <c r="D22" t="str">
        <f>_xlfn.XLOOKUP(C22,Validation!$B$2:$B$68,Validation!$A$2:$A$68)</f>
        <v>12109</v>
      </c>
      <c r="E22" t="s">
        <v>40</v>
      </c>
      <c r="F22" s="1">
        <v>36418</v>
      </c>
      <c r="G22">
        <v>400</v>
      </c>
      <c r="H22" t="s">
        <v>41</v>
      </c>
      <c r="I22" t="s">
        <v>40</v>
      </c>
      <c r="J22" t="s">
        <v>40</v>
      </c>
      <c r="K22">
        <v>0</v>
      </c>
      <c r="L22">
        <v>0</v>
      </c>
      <c r="M22">
        <v>3000000</v>
      </c>
      <c r="N22">
        <v>0</v>
      </c>
      <c r="O22" t="s">
        <v>42</v>
      </c>
      <c r="P22" t="s">
        <v>43</v>
      </c>
      <c r="Q22" t="s">
        <v>40</v>
      </c>
      <c r="R22">
        <v>2413614</v>
      </c>
      <c r="S22" t="s">
        <v>44</v>
      </c>
      <c r="T22">
        <v>33</v>
      </c>
      <c r="U22" t="s">
        <v>75</v>
      </c>
      <c r="V22">
        <v>0</v>
      </c>
      <c r="W22">
        <v>0</v>
      </c>
      <c r="X22" t="s">
        <v>67</v>
      </c>
      <c r="Y22" t="s">
        <v>40</v>
      </c>
      <c r="Z22" t="s">
        <v>40</v>
      </c>
      <c r="AA22" t="s">
        <v>40</v>
      </c>
      <c r="AB22" t="s">
        <v>40</v>
      </c>
      <c r="AC22" t="s">
        <v>40</v>
      </c>
      <c r="AD22" t="s">
        <v>40</v>
      </c>
      <c r="AE22" t="s">
        <v>40</v>
      </c>
      <c r="AF22" t="s">
        <v>40</v>
      </c>
      <c r="AG22" s="1">
        <v>36418</v>
      </c>
      <c r="AH22">
        <v>2000</v>
      </c>
      <c r="AI22" t="s">
        <v>40</v>
      </c>
      <c r="AJ22" t="s">
        <v>40</v>
      </c>
      <c r="AK22" t="s">
        <v>40</v>
      </c>
      <c r="AL22" t="s">
        <v>40</v>
      </c>
      <c r="AN22" t="s">
        <v>78</v>
      </c>
      <c r="AO22">
        <v>105</v>
      </c>
    </row>
    <row r="23" spans="1:41" x14ac:dyDescent="0.3">
      <c r="A23">
        <v>5717695</v>
      </c>
      <c r="B23" t="s">
        <v>79</v>
      </c>
      <c r="C23" t="str">
        <f>_xlfn.XLOOKUP(B23,Match!$A$2:$A$111,Match!$B$2:$B$111)</f>
        <v>Duval, FL</v>
      </c>
      <c r="D23" t="str">
        <f>_xlfn.XLOOKUP(C23,Validation!$B$2:$B$68,Validation!$A$2:$A$68)</f>
        <v>12031</v>
      </c>
      <c r="E23" t="s">
        <v>40</v>
      </c>
      <c r="F23" s="1">
        <v>36418</v>
      </c>
      <c r="G23">
        <v>600</v>
      </c>
      <c r="H23" t="s">
        <v>41</v>
      </c>
      <c r="I23" t="s">
        <v>40</v>
      </c>
      <c r="J23" t="s">
        <v>40</v>
      </c>
      <c r="K23">
        <v>0</v>
      </c>
      <c r="L23">
        <v>0</v>
      </c>
      <c r="M23">
        <v>1000000</v>
      </c>
      <c r="N23">
        <v>0</v>
      </c>
      <c r="O23" t="s">
        <v>42</v>
      </c>
      <c r="P23" t="s">
        <v>43</v>
      </c>
      <c r="Q23" t="s">
        <v>40</v>
      </c>
      <c r="R23">
        <v>2414320</v>
      </c>
      <c r="S23" t="s">
        <v>44</v>
      </c>
      <c r="T23">
        <v>25</v>
      </c>
      <c r="U23" t="s">
        <v>75</v>
      </c>
      <c r="V23">
        <v>0</v>
      </c>
      <c r="W23">
        <v>0</v>
      </c>
      <c r="X23" t="s">
        <v>67</v>
      </c>
      <c r="Y23" t="s">
        <v>40</v>
      </c>
      <c r="Z23" t="s">
        <v>40</v>
      </c>
      <c r="AA23" t="s">
        <v>40</v>
      </c>
      <c r="AB23" t="s">
        <v>40</v>
      </c>
      <c r="AC23" t="s">
        <v>40</v>
      </c>
      <c r="AD23" t="s">
        <v>40</v>
      </c>
      <c r="AE23" t="s">
        <v>40</v>
      </c>
      <c r="AF23" t="s">
        <v>40</v>
      </c>
      <c r="AG23" s="1">
        <v>36418</v>
      </c>
      <c r="AH23">
        <v>2100</v>
      </c>
      <c r="AI23" t="s">
        <v>40</v>
      </c>
      <c r="AJ23" t="s">
        <v>40</v>
      </c>
      <c r="AK23" t="s">
        <v>40</v>
      </c>
      <c r="AL23" t="s">
        <v>40</v>
      </c>
      <c r="AN23" t="s">
        <v>80</v>
      </c>
      <c r="AO23">
        <v>106</v>
      </c>
    </row>
    <row r="24" spans="1:41" x14ac:dyDescent="0.3">
      <c r="A24">
        <v>5717696</v>
      </c>
      <c r="B24" t="s">
        <v>81</v>
      </c>
      <c r="C24" t="str">
        <f>_xlfn.XLOOKUP(B24,Match!$A$2:$A$111,Match!$B$2:$B$111)</f>
        <v>Nassau, FL</v>
      </c>
      <c r="D24" t="str">
        <f>_xlfn.XLOOKUP(C24,Validation!$B$2:$B$68,Validation!$A$2:$A$68)</f>
        <v>12089</v>
      </c>
      <c r="E24" t="s">
        <v>40</v>
      </c>
      <c r="F24" s="1">
        <v>36418</v>
      </c>
      <c r="G24">
        <v>900</v>
      </c>
      <c r="H24" t="s">
        <v>41</v>
      </c>
      <c r="I24" t="s">
        <v>40</v>
      </c>
      <c r="J24" t="s">
        <v>40</v>
      </c>
      <c r="K24">
        <v>0</v>
      </c>
      <c r="L24">
        <v>0</v>
      </c>
      <c r="M24">
        <v>2500000</v>
      </c>
      <c r="N24">
        <v>0</v>
      </c>
      <c r="O24" t="s">
        <v>42</v>
      </c>
      <c r="P24" t="s">
        <v>43</v>
      </c>
      <c r="Q24" t="s">
        <v>40</v>
      </c>
      <c r="R24">
        <v>2414321</v>
      </c>
      <c r="S24" t="s">
        <v>44</v>
      </c>
      <c r="T24">
        <v>24</v>
      </c>
      <c r="U24" t="s">
        <v>75</v>
      </c>
      <c r="V24">
        <v>0</v>
      </c>
      <c r="W24">
        <v>0</v>
      </c>
      <c r="X24" t="s">
        <v>67</v>
      </c>
      <c r="Y24" t="s">
        <v>40</v>
      </c>
      <c r="Z24" t="s">
        <v>40</v>
      </c>
      <c r="AA24" t="s">
        <v>40</v>
      </c>
      <c r="AB24" t="s">
        <v>40</v>
      </c>
      <c r="AC24" t="s">
        <v>40</v>
      </c>
      <c r="AD24" t="s">
        <v>40</v>
      </c>
      <c r="AE24" t="s">
        <v>40</v>
      </c>
      <c r="AF24" t="s">
        <v>40</v>
      </c>
      <c r="AG24" s="1">
        <v>36418</v>
      </c>
      <c r="AH24">
        <v>2100</v>
      </c>
      <c r="AI24" t="s">
        <v>40</v>
      </c>
      <c r="AJ24" t="s">
        <v>40</v>
      </c>
      <c r="AK24" t="s">
        <v>40</v>
      </c>
      <c r="AL24" t="s">
        <v>40</v>
      </c>
      <c r="AN24" t="s">
        <v>82</v>
      </c>
      <c r="AO24">
        <v>107</v>
      </c>
    </row>
    <row r="25" spans="1:41" ht="409.6" x14ac:dyDescent="0.3">
      <c r="A25">
        <v>5716957</v>
      </c>
      <c r="B25" t="s">
        <v>48</v>
      </c>
      <c r="C25" t="str">
        <f>_xlfn.XLOOKUP(B25,Match!$A$2:$A$111,Match!$B$2:$B$111)</f>
        <v>Miami-Dade, FL</v>
      </c>
      <c r="D25" t="str">
        <f>_xlfn.XLOOKUP(C25,Validation!$B$2:$B$68,Validation!$A$2:$A$68)</f>
        <v>12086</v>
      </c>
      <c r="E25" t="s">
        <v>40</v>
      </c>
      <c r="F25" s="1">
        <v>36447</v>
      </c>
      <c r="G25">
        <v>700</v>
      </c>
      <c r="H25" t="s">
        <v>41</v>
      </c>
      <c r="I25" t="s">
        <v>40</v>
      </c>
      <c r="J25" t="s">
        <v>40</v>
      </c>
      <c r="K25">
        <v>0</v>
      </c>
      <c r="L25">
        <v>0</v>
      </c>
      <c r="M25">
        <v>140000000</v>
      </c>
      <c r="N25">
        <v>230000000</v>
      </c>
      <c r="O25" t="s">
        <v>42</v>
      </c>
      <c r="P25" t="s">
        <v>43</v>
      </c>
      <c r="Q25" t="s">
        <v>40</v>
      </c>
      <c r="R25">
        <v>2411770</v>
      </c>
      <c r="S25" t="s">
        <v>44</v>
      </c>
      <c r="T25">
        <v>74</v>
      </c>
      <c r="U25" t="s">
        <v>45</v>
      </c>
      <c r="V25">
        <v>0</v>
      </c>
      <c r="W25">
        <v>0</v>
      </c>
      <c r="X25" t="s">
        <v>46</v>
      </c>
      <c r="Y25" t="s">
        <v>40</v>
      </c>
      <c r="Z25" t="s">
        <v>40</v>
      </c>
      <c r="AA25" t="s">
        <v>40</v>
      </c>
      <c r="AB25" t="s">
        <v>40</v>
      </c>
      <c r="AC25" t="s">
        <v>40</v>
      </c>
      <c r="AD25" t="s">
        <v>40</v>
      </c>
      <c r="AE25" t="s">
        <v>40</v>
      </c>
      <c r="AF25" t="s">
        <v>40</v>
      </c>
      <c r="AG25" s="1">
        <v>36448</v>
      </c>
      <c r="AH25">
        <v>2200</v>
      </c>
      <c r="AI25" t="s">
        <v>40</v>
      </c>
      <c r="AJ25" t="s">
        <v>40</v>
      </c>
      <c r="AK25" t="s">
        <v>40</v>
      </c>
      <c r="AL25" t="s">
        <v>40</v>
      </c>
      <c r="AN25" s="2" t="s">
        <v>83</v>
      </c>
      <c r="AO25">
        <v>108</v>
      </c>
    </row>
    <row r="26" spans="1:41" ht="409.6" x14ac:dyDescent="0.3">
      <c r="A26">
        <v>5716956</v>
      </c>
      <c r="B26" t="s">
        <v>52</v>
      </c>
      <c r="C26" t="str">
        <f>_xlfn.XLOOKUP(B26,Match!$A$2:$A$111,Match!$B$2:$B$111)</f>
        <v>Broward, FL</v>
      </c>
      <c r="D26" t="str">
        <f>_xlfn.XLOOKUP(C26,Validation!$B$2:$B$68,Validation!$A$2:$A$68)</f>
        <v>12011</v>
      </c>
      <c r="E26" t="s">
        <v>40</v>
      </c>
      <c r="F26" s="1">
        <v>36447</v>
      </c>
      <c r="G26">
        <v>800</v>
      </c>
      <c r="H26" t="s">
        <v>41</v>
      </c>
      <c r="I26" t="s">
        <v>40</v>
      </c>
      <c r="J26" t="s">
        <v>40</v>
      </c>
      <c r="K26">
        <v>0</v>
      </c>
      <c r="L26">
        <v>4</v>
      </c>
      <c r="M26">
        <v>54000000</v>
      </c>
      <c r="N26">
        <v>33000000</v>
      </c>
      <c r="O26" t="s">
        <v>42</v>
      </c>
      <c r="P26" t="s">
        <v>43</v>
      </c>
      <c r="Q26" t="s">
        <v>40</v>
      </c>
      <c r="R26">
        <v>2411770</v>
      </c>
      <c r="S26" t="s">
        <v>44</v>
      </c>
      <c r="T26">
        <v>72</v>
      </c>
      <c r="U26" t="s">
        <v>45</v>
      </c>
      <c r="V26">
        <v>0</v>
      </c>
      <c r="W26">
        <v>0</v>
      </c>
      <c r="X26" t="s">
        <v>46</v>
      </c>
      <c r="Y26" t="s">
        <v>40</v>
      </c>
      <c r="Z26" t="s">
        <v>40</v>
      </c>
      <c r="AA26" t="s">
        <v>40</v>
      </c>
      <c r="AB26" t="s">
        <v>40</v>
      </c>
      <c r="AC26" t="s">
        <v>40</v>
      </c>
      <c r="AD26" t="s">
        <v>40</v>
      </c>
      <c r="AE26" t="s">
        <v>40</v>
      </c>
      <c r="AF26" t="s">
        <v>40</v>
      </c>
      <c r="AG26" s="1">
        <v>36448</v>
      </c>
      <c r="AH26">
        <v>2300</v>
      </c>
      <c r="AI26" t="s">
        <v>40</v>
      </c>
      <c r="AJ26" t="s">
        <v>40</v>
      </c>
      <c r="AK26" t="s">
        <v>40</v>
      </c>
      <c r="AL26" t="s">
        <v>40</v>
      </c>
      <c r="AN26" s="2" t="s">
        <v>83</v>
      </c>
      <c r="AO26">
        <v>109</v>
      </c>
    </row>
    <row r="27" spans="1:41" ht="409.6" x14ac:dyDescent="0.3">
      <c r="A27">
        <v>5716958</v>
      </c>
      <c r="B27" t="s">
        <v>39</v>
      </c>
      <c r="C27" t="str">
        <f>_xlfn.XLOOKUP(B27,Match!$A$2:$A$111,Match!$B$2:$B$111)</f>
        <v>Palm Beach, FL</v>
      </c>
      <c r="D27" t="str">
        <f>_xlfn.XLOOKUP(C27,Validation!$B$2:$B$68,Validation!$A$2:$A$68)</f>
        <v>12099</v>
      </c>
      <c r="E27" t="s">
        <v>40</v>
      </c>
      <c r="F27" s="1">
        <v>36447</v>
      </c>
      <c r="G27">
        <v>900</v>
      </c>
      <c r="H27" t="s">
        <v>41</v>
      </c>
      <c r="I27" t="s">
        <v>40</v>
      </c>
      <c r="J27" t="s">
        <v>40</v>
      </c>
      <c r="K27">
        <v>0</v>
      </c>
      <c r="L27">
        <v>0</v>
      </c>
      <c r="M27">
        <v>68000000</v>
      </c>
      <c r="N27">
        <v>75000000</v>
      </c>
      <c r="O27" t="s">
        <v>42</v>
      </c>
      <c r="P27" t="s">
        <v>43</v>
      </c>
      <c r="Q27" t="s">
        <v>40</v>
      </c>
      <c r="R27">
        <v>2411770</v>
      </c>
      <c r="S27" t="s">
        <v>44</v>
      </c>
      <c r="T27">
        <v>68</v>
      </c>
      <c r="U27" t="s">
        <v>45</v>
      </c>
      <c r="V27">
        <v>0</v>
      </c>
      <c r="W27">
        <v>0</v>
      </c>
      <c r="X27" t="s">
        <v>46</v>
      </c>
      <c r="Y27" t="s">
        <v>40</v>
      </c>
      <c r="Z27" t="s">
        <v>40</v>
      </c>
      <c r="AA27" t="s">
        <v>40</v>
      </c>
      <c r="AB27" t="s">
        <v>40</v>
      </c>
      <c r="AC27" t="s">
        <v>40</v>
      </c>
      <c r="AD27" t="s">
        <v>40</v>
      </c>
      <c r="AE27" t="s">
        <v>40</v>
      </c>
      <c r="AF27" t="s">
        <v>40</v>
      </c>
      <c r="AG27" s="1">
        <v>36448</v>
      </c>
      <c r="AH27">
        <v>2300</v>
      </c>
      <c r="AI27" t="s">
        <v>40</v>
      </c>
      <c r="AJ27" t="s">
        <v>40</v>
      </c>
      <c r="AK27" t="s">
        <v>40</v>
      </c>
      <c r="AL27" t="s">
        <v>40</v>
      </c>
      <c r="AN27" s="2" t="s">
        <v>83</v>
      </c>
      <c r="AO27">
        <v>110</v>
      </c>
    </row>
    <row r="28" spans="1:41" x14ac:dyDescent="0.3">
      <c r="A28">
        <v>5716844</v>
      </c>
      <c r="B28" t="s">
        <v>84</v>
      </c>
      <c r="C28" t="str">
        <f>_xlfn.XLOOKUP(B28,Match!$A$2:$A$111,Match!$B$2:$B$111)</f>
        <v>Monroe, FL</v>
      </c>
      <c r="D28" t="str">
        <f>_xlfn.XLOOKUP(C28,Validation!$B$2:$B$68,Validation!$A$2:$A$68)</f>
        <v>12087</v>
      </c>
      <c r="E28" t="s">
        <v>40</v>
      </c>
      <c r="F28" s="1">
        <v>36447</v>
      </c>
      <c r="G28">
        <v>2100</v>
      </c>
      <c r="H28" t="s">
        <v>41</v>
      </c>
      <c r="I28" t="s">
        <v>40</v>
      </c>
      <c r="J28" t="s">
        <v>40</v>
      </c>
      <c r="K28">
        <v>0</v>
      </c>
      <c r="L28">
        <v>0</v>
      </c>
      <c r="M28">
        <v>9300000</v>
      </c>
      <c r="N28">
        <v>0</v>
      </c>
      <c r="O28" t="s">
        <v>42</v>
      </c>
      <c r="P28" t="s">
        <v>43</v>
      </c>
      <c r="Q28" t="s">
        <v>40</v>
      </c>
      <c r="R28">
        <v>2413547</v>
      </c>
      <c r="S28" t="s">
        <v>44</v>
      </c>
      <c r="T28">
        <v>78</v>
      </c>
      <c r="U28" t="s">
        <v>85</v>
      </c>
      <c r="V28">
        <v>0</v>
      </c>
      <c r="W28">
        <v>0</v>
      </c>
      <c r="X28" t="s">
        <v>86</v>
      </c>
      <c r="Y28" t="s">
        <v>40</v>
      </c>
      <c r="Z28" t="s">
        <v>40</v>
      </c>
      <c r="AA28" t="s">
        <v>40</v>
      </c>
      <c r="AB28" t="s">
        <v>40</v>
      </c>
      <c r="AC28" t="s">
        <v>40</v>
      </c>
      <c r="AD28" t="s">
        <v>40</v>
      </c>
      <c r="AE28" t="s">
        <v>40</v>
      </c>
      <c r="AF28" t="s">
        <v>40</v>
      </c>
      <c r="AG28" s="1">
        <v>36448</v>
      </c>
      <c r="AH28">
        <v>1800</v>
      </c>
      <c r="AI28" t="s">
        <v>40</v>
      </c>
      <c r="AJ28" t="s">
        <v>40</v>
      </c>
      <c r="AK28" t="s">
        <v>40</v>
      </c>
      <c r="AL28" t="s">
        <v>40</v>
      </c>
      <c r="AO28">
        <v>111</v>
      </c>
    </row>
    <row r="29" spans="1:41" x14ac:dyDescent="0.3">
      <c r="A29">
        <v>5716845</v>
      </c>
      <c r="B29" t="s">
        <v>87</v>
      </c>
      <c r="C29" t="str">
        <f>_xlfn.XLOOKUP(B29,Match!$A$2:$A$111,Match!$B$2:$B$111)</f>
        <v>Monroe, FL</v>
      </c>
      <c r="D29" t="str">
        <f>_xlfn.XLOOKUP(C29,Validation!$B$2:$B$68,Validation!$A$2:$A$68)</f>
        <v>12087</v>
      </c>
      <c r="E29" t="s">
        <v>40</v>
      </c>
      <c r="F29" s="1">
        <v>36447</v>
      </c>
      <c r="G29">
        <v>2200</v>
      </c>
      <c r="H29" t="s">
        <v>41</v>
      </c>
      <c r="I29" t="s">
        <v>40</v>
      </c>
      <c r="J29" t="s">
        <v>40</v>
      </c>
      <c r="K29">
        <v>0</v>
      </c>
      <c r="L29">
        <v>0</v>
      </c>
      <c r="M29">
        <v>1500000</v>
      </c>
      <c r="N29">
        <v>0</v>
      </c>
      <c r="O29" t="s">
        <v>42</v>
      </c>
      <c r="P29" t="s">
        <v>43</v>
      </c>
      <c r="Q29" t="s">
        <v>40</v>
      </c>
      <c r="R29">
        <v>2413547</v>
      </c>
      <c r="S29" t="s">
        <v>44</v>
      </c>
      <c r="T29">
        <v>77</v>
      </c>
      <c r="U29" t="s">
        <v>85</v>
      </c>
      <c r="V29">
        <v>0</v>
      </c>
      <c r="W29">
        <v>0</v>
      </c>
      <c r="X29" t="s">
        <v>86</v>
      </c>
      <c r="Y29" t="s">
        <v>40</v>
      </c>
      <c r="Z29" t="s">
        <v>40</v>
      </c>
      <c r="AA29" t="s">
        <v>40</v>
      </c>
      <c r="AB29" t="s">
        <v>40</v>
      </c>
      <c r="AC29" t="s">
        <v>40</v>
      </c>
      <c r="AD29" t="s">
        <v>40</v>
      </c>
      <c r="AE29" t="s">
        <v>40</v>
      </c>
      <c r="AF29" t="s">
        <v>40</v>
      </c>
      <c r="AG29" s="1">
        <v>36448</v>
      </c>
      <c r="AH29">
        <v>2000</v>
      </c>
      <c r="AI29" t="s">
        <v>40</v>
      </c>
      <c r="AJ29" t="s">
        <v>40</v>
      </c>
      <c r="AK29" t="s">
        <v>40</v>
      </c>
      <c r="AL29" t="s">
        <v>40</v>
      </c>
      <c r="AO29">
        <v>112</v>
      </c>
    </row>
    <row r="30" spans="1:41" x14ac:dyDescent="0.3">
      <c r="A30">
        <v>5716846</v>
      </c>
      <c r="B30" t="s">
        <v>88</v>
      </c>
      <c r="C30" t="str">
        <f>_xlfn.XLOOKUP(B30,Match!$A$2:$A$111,Match!$B$2:$B$111)</f>
        <v>Monroe, FL</v>
      </c>
      <c r="D30" t="str">
        <f>_xlfn.XLOOKUP(C30,Validation!$B$2:$B$68,Validation!$A$2:$A$68)</f>
        <v>12087</v>
      </c>
      <c r="E30" t="s">
        <v>40</v>
      </c>
      <c r="F30" s="1">
        <v>36447</v>
      </c>
      <c r="G30">
        <v>2300</v>
      </c>
      <c r="H30" t="s">
        <v>41</v>
      </c>
      <c r="I30" t="s">
        <v>40</v>
      </c>
      <c r="J30" t="s">
        <v>40</v>
      </c>
      <c r="K30">
        <v>0</v>
      </c>
      <c r="L30">
        <v>0</v>
      </c>
      <c r="M30">
        <v>2670000</v>
      </c>
      <c r="N30">
        <v>0</v>
      </c>
      <c r="O30" t="s">
        <v>42</v>
      </c>
      <c r="P30" t="s">
        <v>43</v>
      </c>
      <c r="Q30" t="s">
        <v>40</v>
      </c>
      <c r="R30">
        <v>2413547</v>
      </c>
      <c r="S30" t="s">
        <v>44</v>
      </c>
      <c r="T30">
        <v>76</v>
      </c>
      <c r="U30" t="s">
        <v>85</v>
      </c>
      <c r="V30">
        <v>0</v>
      </c>
      <c r="W30">
        <v>0</v>
      </c>
      <c r="X30" t="s">
        <v>86</v>
      </c>
      <c r="Y30" t="s">
        <v>40</v>
      </c>
      <c r="Z30" t="s">
        <v>40</v>
      </c>
      <c r="AA30" t="s">
        <v>40</v>
      </c>
      <c r="AB30" t="s">
        <v>40</v>
      </c>
      <c r="AC30" t="s">
        <v>40</v>
      </c>
      <c r="AD30" t="s">
        <v>40</v>
      </c>
      <c r="AE30" t="s">
        <v>40</v>
      </c>
      <c r="AF30" t="s">
        <v>40</v>
      </c>
      <c r="AG30" s="1">
        <v>36448</v>
      </c>
      <c r="AH30">
        <v>2100</v>
      </c>
      <c r="AI30" t="s">
        <v>40</v>
      </c>
      <c r="AJ30" t="s">
        <v>40</v>
      </c>
      <c r="AK30" t="s">
        <v>40</v>
      </c>
      <c r="AL30" t="s">
        <v>40</v>
      </c>
      <c r="AO30">
        <v>113</v>
      </c>
    </row>
    <row r="31" spans="1:41" ht="409.6" x14ac:dyDescent="0.3">
      <c r="A31">
        <v>5723286</v>
      </c>
      <c r="B31" t="s">
        <v>53</v>
      </c>
      <c r="C31" t="str">
        <f>_xlfn.XLOOKUP(B31,Match!$A$2:$A$111,Match!$B$2:$B$111)</f>
        <v>DeSoto, FL</v>
      </c>
      <c r="D31" t="str">
        <f>_xlfn.XLOOKUP(C31,Validation!$B$2:$B$68,Validation!$A$2:$A$68)</f>
        <v>12027</v>
      </c>
      <c r="E31" t="s">
        <v>40</v>
      </c>
      <c r="F31" s="1">
        <v>36448</v>
      </c>
      <c r="G31">
        <v>1200</v>
      </c>
      <c r="H31" t="s">
        <v>41</v>
      </c>
      <c r="I31" t="s">
        <v>40</v>
      </c>
      <c r="J31" t="s">
        <v>40</v>
      </c>
      <c r="K31">
        <v>0</v>
      </c>
      <c r="L31">
        <v>0</v>
      </c>
      <c r="M31">
        <v>0</v>
      </c>
      <c r="N31">
        <v>0</v>
      </c>
      <c r="O31" t="s">
        <v>42</v>
      </c>
      <c r="P31" t="s">
        <v>43</v>
      </c>
      <c r="Q31" t="s">
        <v>40</v>
      </c>
      <c r="R31">
        <v>2413725</v>
      </c>
      <c r="S31" t="s">
        <v>44</v>
      </c>
      <c r="T31">
        <v>61</v>
      </c>
      <c r="U31" t="s">
        <v>54</v>
      </c>
      <c r="V31">
        <v>0</v>
      </c>
      <c r="W31">
        <v>0</v>
      </c>
      <c r="X31" t="s">
        <v>55</v>
      </c>
      <c r="Y31" t="s">
        <v>40</v>
      </c>
      <c r="Z31" t="s">
        <v>40</v>
      </c>
      <c r="AA31" t="s">
        <v>40</v>
      </c>
      <c r="AB31" t="s">
        <v>40</v>
      </c>
      <c r="AC31" t="s">
        <v>40</v>
      </c>
      <c r="AD31" t="s">
        <v>40</v>
      </c>
      <c r="AE31" t="s">
        <v>40</v>
      </c>
      <c r="AF31" t="s">
        <v>40</v>
      </c>
      <c r="AG31" s="1">
        <v>36449</v>
      </c>
      <c r="AH31">
        <v>1500</v>
      </c>
      <c r="AI31" t="s">
        <v>40</v>
      </c>
      <c r="AJ31" t="s">
        <v>40</v>
      </c>
      <c r="AK31" t="s">
        <v>40</v>
      </c>
      <c r="AL31" t="s">
        <v>40</v>
      </c>
      <c r="AN31" s="2" t="s">
        <v>89</v>
      </c>
      <c r="AO31">
        <v>114</v>
      </c>
    </row>
    <row r="32" spans="1:41" ht="409.6" x14ac:dyDescent="0.3">
      <c r="A32">
        <v>5723289</v>
      </c>
      <c r="B32" t="s">
        <v>60</v>
      </c>
      <c r="C32" t="str">
        <f>_xlfn.XLOOKUP(B32,Match!$A$2:$A$111,Match!$B$2:$B$111)</f>
        <v>Polk, FL</v>
      </c>
      <c r="D32" t="str">
        <f>_xlfn.XLOOKUP(C32,Validation!$B$2:$B$68,Validation!$A$2:$A$68)</f>
        <v>12105</v>
      </c>
      <c r="E32" t="s">
        <v>40</v>
      </c>
      <c r="F32" s="1">
        <v>36448</v>
      </c>
      <c r="G32">
        <v>1200</v>
      </c>
      <c r="H32" t="s">
        <v>41</v>
      </c>
      <c r="I32" t="s">
        <v>40</v>
      </c>
      <c r="J32" t="s">
        <v>40</v>
      </c>
      <c r="K32">
        <v>0</v>
      </c>
      <c r="L32">
        <v>0</v>
      </c>
      <c r="M32">
        <v>0</v>
      </c>
      <c r="N32">
        <v>0</v>
      </c>
      <c r="O32" t="s">
        <v>42</v>
      </c>
      <c r="P32" t="s">
        <v>43</v>
      </c>
      <c r="Q32" t="s">
        <v>40</v>
      </c>
      <c r="R32">
        <v>2413725</v>
      </c>
      <c r="S32" t="s">
        <v>44</v>
      </c>
      <c r="T32">
        <v>52</v>
      </c>
      <c r="U32" t="s">
        <v>54</v>
      </c>
      <c r="V32">
        <v>0</v>
      </c>
      <c r="W32">
        <v>0</v>
      </c>
      <c r="X32" t="s">
        <v>55</v>
      </c>
      <c r="Y32" t="s">
        <v>40</v>
      </c>
      <c r="Z32" t="s">
        <v>40</v>
      </c>
      <c r="AA32" t="s">
        <v>40</v>
      </c>
      <c r="AB32" t="s">
        <v>40</v>
      </c>
      <c r="AC32" t="s">
        <v>40</v>
      </c>
      <c r="AD32" t="s">
        <v>40</v>
      </c>
      <c r="AE32" t="s">
        <v>40</v>
      </c>
      <c r="AF32" t="s">
        <v>40</v>
      </c>
      <c r="AG32" s="1">
        <v>36449</v>
      </c>
      <c r="AH32">
        <v>1500</v>
      </c>
      <c r="AI32" t="s">
        <v>40</v>
      </c>
      <c r="AJ32" t="s">
        <v>40</v>
      </c>
      <c r="AK32" t="s">
        <v>40</v>
      </c>
      <c r="AL32" t="s">
        <v>40</v>
      </c>
      <c r="AN32" s="2" t="s">
        <v>89</v>
      </c>
      <c r="AO32">
        <v>115</v>
      </c>
    </row>
    <row r="33" spans="1:44" ht="409.6" x14ac:dyDescent="0.3">
      <c r="A33">
        <v>5723284</v>
      </c>
      <c r="B33" t="s">
        <v>57</v>
      </c>
      <c r="C33" t="str">
        <f>_xlfn.XLOOKUP(B33,Match!$A$2:$A$111,Match!$B$2:$B$111)</f>
        <v>Lee, FL</v>
      </c>
      <c r="D33" t="str">
        <f>_xlfn.XLOOKUP(C33,Validation!$B$2:$B$68,Validation!$A$2:$A$68)</f>
        <v>12071</v>
      </c>
      <c r="E33" t="s">
        <v>40</v>
      </c>
      <c r="F33" s="1">
        <v>36448</v>
      </c>
      <c r="G33">
        <v>1200</v>
      </c>
      <c r="H33" t="s">
        <v>41</v>
      </c>
      <c r="I33" t="s">
        <v>40</v>
      </c>
      <c r="J33" t="s">
        <v>40</v>
      </c>
      <c r="K33">
        <v>0</v>
      </c>
      <c r="L33">
        <v>0</v>
      </c>
      <c r="M33">
        <v>0</v>
      </c>
      <c r="N33">
        <v>0</v>
      </c>
      <c r="O33" t="s">
        <v>42</v>
      </c>
      <c r="P33" t="s">
        <v>43</v>
      </c>
      <c r="Q33" t="s">
        <v>40</v>
      </c>
      <c r="R33">
        <v>2413725</v>
      </c>
      <c r="S33" t="s">
        <v>44</v>
      </c>
      <c r="T33">
        <v>65</v>
      </c>
      <c r="U33" t="s">
        <v>54</v>
      </c>
      <c r="V33">
        <v>0</v>
      </c>
      <c r="W33">
        <v>0</v>
      </c>
      <c r="X33" t="s">
        <v>55</v>
      </c>
      <c r="Y33" t="s">
        <v>40</v>
      </c>
      <c r="Z33" t="s">
        <v>40</v>
      </c>
      <c r="AA33" t="s">
        <v>40</v>
      </c>
      <c r="AB33" t="s">
        <v>40</v>
      </c>
      <c r="AC33" t="s">
        <v>40</v>
      </c>
      <c r="AD33" t="s">
        <v>40</v>
      </c>
      <c r="AE33" t="s">
        <v>40</v>
      </c>
      <c r="AF33" t="s">
        <v>40</v>
      </c>
      <c r="AG33" s="1">
        <v>36449</v>
      </c>
      <c r="AH33">
        <v>1500</v>
      </c>
      <c r="AI33" t="s">
        <v>40</v>
      </c>
      <c r="AJ33" t="s">
        <v>40</v>
      </c>
      <c r="AK33" t="s">
        <v>40</v>
      </c>
      <c r="AL33" t="s">
        <v>40</v>
      </c>
      <c r="AN33" s="2" t="s">
        <v>89</v>
      </c>
      <c r="AO33">
        <v>116</v>
      </c>
    </row>
    <row r="34" spans="1:44" ht="409.6" x14ac:dyDescent="0.3">
      <c r="A34">
        <v>5723287</v>
      </c>
      <c r="B34" t="s">
        <v>64</v>
      </c>
      <c r="C34" t="str">
        <f>_xlfn.XLOOKUP(B34,Match!$A$2:$A$111,Match!$B$2:$B$111)</f>
        <v>Hardee, FL</v>
      </c>
      <c r="D34" t="str">
        <f>_xlfn.XLOOKUP(C34,Validation!$B$2:$B$68,Validation!$A$2:$A$68)</f>
        <v>12049</v>
      </c>
      <c r="E34" t="s">
        <v>40</v>
      </c>
      <c r="F34" s="1">
        <v>36448</v>
      </c>
      <c r="G34">
        <v>1200</v>
      </c>
      <c r="H34" t="s">
        <v>41</v>
      </c>
      <c r="I34" t="s">
        <v>40</v>
      </c>
      <c r="J34" t="s">
        <v>40</v>
      </c>
      <c r="K34">
        <v>0</v>
      </c>
      <c r="L34">
        <v>0</v>
      </c>
      <c r="M34">
        <v>0</v>
      </c>
      <c r="N34">
        <v>0</v>
      </c>
      <c r="O34" t="s">
        <v>42</v>
      </c>
      <c r="P34" t="s">
        <v>43</v>
      </c>
      <c r="Q34" t="s">
        <v>40</v>
      </c>
      <c r="R34">
        <v>2413725</v>
      </c>
      <c r="S34" t="s">
        <v>44</v>
      </c>
      <c r="T34">
        <v>56</v>
      </c>
      <c r="U34" t="s">
        <v>54</v>
      </c>
      <c r="V34">
        <v>0</v>
      </c>
      <c r="W34">
        <v>0</v>
      </c>
      <c r="X34" t="s">
        <v>55</v>
      </c>
      <c r="Y34" t="s">
        <v>40</v>
      </c>
      <c r="Z34" t="s">
        <v>40</v>
      </c>
      <c r="AA34" t="s">
        <v>40</v>
      </c>
      <c r="AB34" t="s">
        <v>40</v>
      </c>
      <c r="AC34" t="s">
        <v>40</v>
      </c>
      <c r="AD34" t="s">
        <v>40</v>
      </c>
      <c r="AE34" t="s">
        <v>40</v>
      </c>
      <c r="AF34" t="s">
        <v>40</v>
      </c>
      <c r="AG34" s="1">
        <v>36449</v>
      </c>
      <c r="AH34">
        <v>1500</v>
      </c>
      <c r="AI34" t="s">
        <v>40</v>
      </c>
      <c r="AJ34" t="s">
        <v>40</v>
      </c>
      <c r="AK34" t="s">
        <v>40</v>
      </c>
      <c r="AL34" t="s">
        <v>40</v>
      </c>
      <c r="AN34" s="2" t="s">
        <v>89</v>
      </c>
      <c r="AO34">
        <v>117</v>
      </c>
    </row>
    <row r="35" spans="1:44" ht="409.6" x14ac:dyDescent="0.3">
      <c r="A35">
        <v>5723285</v>
      </c>
      <c r="B35" t="s">
        <v>59</v>
      </c>
      <c r="C35" t="str">
        <f>_xlfn.XLOOKUP(B35,Match!$A$2:$A$111,Match!$B$2:$B$111)</f>
        <v>Charlotte, FL</v>
      </c>
      <c r="D35" t="str">
        <f>_xlfn.XLOOKUP(C35,Validation!$B$2:$B$68,Validation!$A$2:$A$68)</f>
        <v>12015</v>
      </c>
      <c r="E35" t="s">
        <v>40</v>
      </c>
      <c r="F35" s="1">
        <v>36448</v>
      </c>
      <c r="G35">
        <v>1200</v>
      </c>
      <c r="H35" t="s">
        <v>41</v>
      </c>
      <c r="I35" t="s">
        <v>40</v>
      </c>
      <c r="J35" t="s">
        <v>40</v>
      </c>
      <c r="K35">
        <v>0</v>
      </c>
      <c r="L35">
        <v>0</v>
      </c>
      <c r="M35">
        <v>0</v>
      </c>
      <c r="N35">
        <v>0</v>
      </c>
      <c r="O35" t="s">
        <v>42</v>
      </c>
      <c r="P35" t="s">
        <v>43</v>
      </c>
      <c r="Q35" t="s">
        <v>40</v>
      </c>
      <c r="R35">
        <v>2413725</v>
      </c>
      <c r="S35" t="s">
        <v>44</v>
      </c>
      <c r="T35">
        <v>62</v>
      </c>
      <c r="U35" t="s">
        <v>54</v>
      </c>
      <c r="V35">
        <v>0</v>
      </c>
      <c r="W35">
        <v>0</v>
      </c>
      <c r="X35" t="s">
        <v>55</v>
      </c>
      <c r="Y35" t="s">
        <v>40</v>
      </c>
      <c r="Z35" t="s">
        <v>40</v>
      </c>
      <c r="AA35" t="s">
        <v>40</v>
      </c>
      <c r="AB35" t="s">
        <v>40</v>
      </c>
      <c r="AC35" t="s">
        <v>40</v>
      </c>
      <c r="AD35" t="s">
        <v>40</v>
      </c>
      <c r="AE35" t="s">
        <v>40</v>
      </c>
      <c r="AF35" t="s">
        <v>40</v>
      </c>
      <c r="AG35" s="1">
        <v>36449</v>
      </c>
      <c r="AH35">
        <v>1500</v>
      </c>
      <c r="AI35" t="s">
        <v>40</v>
      </c>
      <c r="AJ35" t="s">
        <v>40</v>
      </c>
      <c r="AK35" t="s">
        <v>40</v>
      </c>
      <c r="AL35" t="s">
        <v>40</v>
      </c>
      <c r="AN35" s="2" t="s">
        <v>89</v>
      </c>
      <c r="AO35">
        <v>118</v>
      </c>
    </row>
    <row r="36" spans="1:44" ht="409.6" x14ac:dyDescent="0.3">
      <c r="A36">
        <v>5723288</v>
      </c>
      <c r="B36" t="s">
        <v>58</v>
      </c>
      <c r="C36" t="str">
        <f>_xlfn.XLOOKUP(B36,Match!$A$2:$A$111,Match!$B$2:$B$111)</f>
        <v>Highlands, FL</v>
      </c>
      <c r="D36" t="str">
        <f>_xlfn.XLOOKUP(C36,Validation!$B$2:$B$68,Validation!$A$2:$A$68)</f>
        <v>12055</v>
      </c>
      <c r="E36" t="s">
        <v>40</v>
      </c>
      <c r="F36" s="1">
        <v>36448</v>
      </c>
      <c r="G36">
        <v>1200</v>
      </c>
      <c r="H36" t="s">
        <v>41</v>
      </c>
      <c r="I36" t="s">
        <v>40</v>
      </c>
      <c r="J36" t="s">
        <v>40</v>
      </c>
      <c r="K36">
        <v>0</v>
      </c>
      <c r="L36">
        <v>0</v>
      </c>
      <c r="M36">
        <v>0</v>
      </c>
      <c r="N36">
        <v>0</v>
      </c>
      <c r="O36" t="s">
        <v>42</v>
      </c>
      <c r="P36" t="s">
        <v>43</v>
      </c>
      <c r="Q36" t="s">
        <v>40</v>
      </c>
      <c r="R36">
        <v>2413725</v>
      </c>
      <c r="S36" t="s">
        <v>44</v>
      </c>
      <c r="T36">
        <v>57</v>
      </c>
      <c r="U36" t="s">
        <v>54</v>
      </c>
      <c r="V36">
        <v>0</v>
      </c>
      <c r="W36">
        <v>0</v>
      </c>
      <c r="X36" t="s">
        <v>55</v>
      </c>
      <c r="Y36" t="s">
        <v>40</v>
      </c>
      <c r="Z36" t="s">
        <v>40</v>
      </c>
      <c r="AA36" t="s">
        <v>40</v>
      </c>
      <c r="AB36" t="s">
        <v>40</v>
      </c>
      <c r="AC36" t="s">
        <v>40</v>
      </c>
      <c r="AD36" t="s">
        <v>40</v>
      </c>
      <c r="AE36" t="s">
        <v>40</v>
      </c>
      <c r="AF36" t="s">
        <v>40</v>
      </c>
      <c r="AG36" s="1">
        <v>36449</v>
      </c>
      <c r="AH36">
        <v>1500</v>
      </c>
      <c r="AI36" t="s">
        <v>40</v>
      </c>
      <c r="AJ36" t="s">
        <v>40</v>
      </c>
      <c r="AK36" t="s">
        <v>40</v>
      </c>
      <c r="AL36" t="s">
        <v>40</v>
      </c>
      <c r="AN36" s="2" t="s">
        <v>89</v>
      </c>
      <c r="AO36">
        <v>119</v>
      </c>
    </row>
    <row r="37" spans="1:44" ht="148.80000000000001" customHeight="1" x14ac:dyDescent="0.3">
      <c r="A37">
        <v>5717621</v>
      </c>
      <c r="B37" t="s">
        <v>71</v>
      </c>
      <c r="C37" t="str">
        <f>_xlfn.XLOOKUP(B37,Match!$A$2:$A$111,Match!$B$2:$B$111)</f>
        <v>Indian River, FL</v>
      </c>
      <c r="D37" t="str">
        <f>_xlfn.XLOOKUP(C37,Validation!$B$2:$B$68,Validation!$A$2:$A$68)</f>
        <v>12061</v>
      </c>
      <c r="E37" t="s">
        <v>40</v>
      </c>
      <c r="F37" s="1">
        <v>36448</v>
      </c>
      <c r="G37">
        <v>2000</v>
      </c>
      <c r="H37" t="s">
        <v>41</v>
      </c>
      <c r="I37" t="s">
        <v>40</v>
      </c>
      <c r="J37" t="s">
        <v>40</v>
      </c>
      <c r="K37">
        <v>0</v>
      </c>
      <c r="L37">
        <v>0</v>
      </c>
      <c r="M37">
        <v>10000000</v>
      </c>
      <c r="N37">
        <v>0</v>
      </c>
      <c r="O37" t="s">
        <v>42</v>
      </c>
      <c r="P37" t="s">
        <v>43</v>
      </c>
      <c r="Q37" t="s">
        <v>40</v>
      </c>
      <c r="R37">
        <v>2413684</v>
      </c>
      <c r="S37" t="s">
        <v>44</v>
      </c>
      <c r="T37">
        <v>54</v>
      </c>
      <c r="U37" t="s">
        <v>66</v>
      </c>
      <c r="V37">
        <v>0</v>
      </c>
      <c r="W37">
        <v>0</v>
      </c>
      <c r="X37" t="s">
        <v>67</v>
      </c>
      <c r="Y37" t="s">
        <v>40</v>
      </c>
      <c r="Z37" t="s">
        <v>40</v>
      </c>
      <c r="AA37" t="s">
        <v>40</v>
      </c>
      <c r="AB37" t="s">
        <v>40</v>
      </c>
      <c r="AC37" t="s">
        <v>40</v>
      </c>
      <c r="AD37" t="s">
        <v>40</v>
      </c>
      <c r="AE37" t="s">
        <v>40</v>
      </c>
      <c r="AF37" t="s">
        <v>40</v>
      </c>
      <c r="AG37" s="1">
        <v>36449</v>
      </c>
      <c r="AH37">
        <v>1200</v>
      </c>
      <c r="AI37" t="s">
        <v>40</v>
      </c>
      <c r="AJ37" t="s">
        <v>40</v>
      </c>
      <c r="AK37" t="s">
        <v>40</v>
      </c>
      <c r="AL37" t="s">
        <v>40</v>
      </c>
      <c r="AN37" s="2" t="s">
        <v>90</v>
      </c>
      <c r="AO37">
        <v>120</v>
      </c>
    </row>
    <row r="38" spans="1:44" ht="409.6" x14ac:dyDescent="0.3">
      <c r="A38">
        <v>5717622</v>
      </c>
      <c r="B38" t="s">
        <v>70</v>
      </c>
      <c r="C38" t="str">
        <f>_xlfn.XLOOKUP(B38,Match!$A$2:$A$111,Match!$B$2:$B$111)</f>
        <v>Brevard, FL</v>
      </c>
      <c r="D38" t="str">
        <f>_xlfn.XLOOKUP(C38,Validation!$B$2:$B$68,Validation!$A$2:$A$68)</f>
        <v>12009</v>
      </c>
      <c r="E38" t="s">
        <v>40</v>
      </c>
      <c r="F38" s="1">
        <v>36448</v>
      </c>
      <c r="G38">
        <v>2000</v>
      </c>
      <c r="H38" t="s">
        <v>41</v>
      </c>
      <c r="I38" t="s">
        <v>40</v>
      </c>
      <c r="J38" t="s">
        <v>40</v>
      </c>
      <c r="K38">
        <v>0</v>
      </c>
      <c r="L38">
        <v>0</v>
      </c>
      <c r="M38">
        <v>12000000</v>
      </c>
      <c r="N38">
        <v>0</v>
      </c>
      <c r="O38" t="s">
        <v>42</v>
      </c>
      <c r="P38" t="s">
        <v>43</v>
      </c>
      <c r="Q38" t="s">
        <v>40</v>
      </c>
      <c r="R38">
        <v>2413684</v>
      </c>
      <c r="S38" t="s">
        <v>44</v>
      </c>
      <c r="T38">
        <v>47</v>
      </c>
      <c r="U38" t="s">
        <v>66</v>
      </c>
      <c r="V38">
        <v>0</v>
      </c>
      <c r="W38">
        <v>0</v>
      </c>
      <c r="X38" t="s">
        <v>67</v>
      </c>
      <c r="Y38" t="s">
        <v>40</v>
      </c>
      <c r="Z38" t="s">
        <v>40</v>
      </c>
      <c r="AA38" t="s">
        <v>40</v>
      </c>
      <c r="AB38" t="s">
        <v>40</v>
      </c>
      <c r="AC38" t="s">
        <v>40</v>
      </c>
      <c r="AD38" t="s">
        <v>40</v>
      </c>
      <c r="AE38" t="s">
        <v>40</v>
      </c>
      <c r="AF38" t="s">
        <v>40</v>
      </c>
      <c r="AG38" s="1">
        <v>36449</v>
      </c>
      <c r="AH38">
        <v>1200</v>
      </c>
      <c r="AI38" t="s">
        <v>40</v>
      </c>
      <c r="AJ38" t="s">
        <v>40</v>
      </c>
      <c r="AK38" t="s">
        <v>40</v>
      </c>
      <c r="AL38" t="s">
        <v>40</v>
      </c>
      <c r="AN38" s="2" t="s">
        <v>90</v>
      </c>
      <c r="AO38">
        <v>121</v>
      </c>
    </row>
    <row r="39" spans="1:44" ht="409.6" x14ac:dyDescent="0.3">
      <c r="A39">
        <v>5717620</v>
      </c>
      <c r="B39" t="s">
        <v>65</v>
      </c>
      <c r="C39" t="str">
        <f>_xlfn.XLOOKUP(B39,Match!$A$2:$A$111,Match!$B$2:$B$111)</f>
        <v>St. Lucie, FL</v>
      </c>
      <c r="D39" t="str">
        <f>_xlfn.XLOOKUP(C39,Validation!$B$2:$B$68,Validation!$A$2:$A$68)</f>
        <v>12111</v>
      </c>
      <c r="E39" t="s">
        <v>40</v>
      </c>
      <c r="F39" s="1">
        <v>36448</v>
      </c>
      <c r="G39">
        <v>2000</v>
      </c>
      <c r="H39" t="s">
        <v>41</v>
      </c>
      <c r="I39" t="s">
        <v>40</v>
      </c>
      <c r="J39" t="s">
        <v>40</v>
      </c>
      <c r="K39">
        <v>0</v>
      </c>
      <c r="L39">
        <v>0</v>
      </c>
      <c r="M39">
        <v>6000000</v>
      </c>
      <c r="N39">
        <v>0</v>
      </c>
      <c r="O39" t="s">
        <v>42</v>
      </c>
      <c r="P39" t="s">
        <v>43</v>
      </c>
      <c r="Q39" t="s">
        <v>40</v>
      </c>
      <c r="R39">
        <v>2413684</v>
      </c>
      <c r="S39" t="s">
        <v>44</v>
      </c>
      <c r="T39">
        <v>59</v>
      </c>
      <c r="U39" t="s">
        <v>66</v>
      </c>
      <c r="V39">
        <v>0</v>
      </c>
      <c r="W39">
        <v>0</v>
      </c>
      <c r="X39" t="s">
        <v>67</v>
      </c>
      <c r="Y39" t="s">
        <v>40</v>
      </c>
      <c r="Z39" t="s">
        <v>40</v>
      </c>
      <c r="AA39" t="s">
        <v>40</v>
      </c>
      <c r="AB39" t="s">
        <v>40</v>
      </c>
      <c r="AC39" t="s">
        <v>40</v>
      </c>
      <c r="AD39" t="s">
        <v>40</v>
      </c>
      <c r="AE39" t="s">
        <v>40</v>
      </c>
      <c r="AF39" t="s">
        <v>40</v>
      </c>
      <c r="AG39" s="1">
        <v>36449</v>
      </c>
      <c r="AH39">
        <v>1200</v>
      </c>
      <c r="AI39" t="s">
        <v>40</v>
      </c>
      <c r="AJ39" t="s">
        <v>40</v>
      </c>
      <c r="AK39" t="s">
        <v>40</v>
      </c>
      <c r="AL39" t="s">
        <v>40</v>
      </c>
      <c r="AN39" s="2" t="s">
        <v>90</v>
      </c>
      <c r="AO39">
        <v>122</v>
      </c>
    </row>
    <row r="40" spans="1:44" ht="409.6" x14ac:dyDescent="0.3">
      <c r="A40">
        <v>5717619</v>
      </c>
      <c r="B40" t="s">
        <v>91</v>
      </c>
      <c r="C40" t="str">
        <f>_xlfn.XLOOKUP(B40,Match!$A$2:$A$111,Match!$B$2:$B$111)</f>
        <v>Martin, FL</v>
      </c>
      <c r="D40" t="str">
        <f>_xlfn.XLOOKUP(C40,Validation!$B$2:$B$68,Validation!$A$2:$A$68)</f>
        <v>12085</v>
      </c>
      <c r="E40" t="s">
        <v>40</v>
      </c>
      <c r="F40" s="1">
        <v>36448</v>
      </c>
      <c r="G40">
        <v>2000</v>
      </c>
      <c r="H40" t="s">
        <v>41</v>
      </c>
      <c r="I40" t="s">
        <v>40</v>
      </c>
      <c r="J40" t="s">
        <v>40</v>
      </c>
      <c r="K40">
        <v>0</v>
      </c>
      <c r="L40">
        <v>0</v>
      </c>
      <c r="M40">
        <v>8000000</v>
      </c>
      <c r="N40">
        <v>0</v>
      </c>
      <c r="O40" t="s">
        <v>42</v>
      </c>
      <c r="P40" t="s">
        <v>43</v>
      </c>
      <c r="Q40" t="s">
        <v>40</v>
      </c>
      <c r="R40">
        <v>2413684</v>
      </c>
      <c r="S40" t="s">
        <v>44</v>
      </c>
      <c r="T40">
        <v>64</v>
      </c>
      <c r="U40" t="s">
        <v>66</v>
      </c>
      <c r="V40">
        <v>0</v>
      </c>
      <c r="W40">
        <v>0</v>
      </c>
      <c r="X40" t="s">
        <v>67</v>
      </c>
      <c r="Y40" t="s">
        <v>40</v>
      </c>
      <c r="Z40" t="s">
        <v>40</v>
      </c>
      <c r="AA40" t="s">
        <v>40</v>
      </c>
      <c r="AB40" t="s">
        <v>40</v>
      </c>
      <c r="AC40" t="s">
        <v>40</v>
      </c>
      <c r="AD40" t="s">
        <v>40</v>
      </c>
      <c r="AE40" t="s">
        <v>40</v>
      </c>
      <c r="AF40" t="s">
        <v>40</v>
      </c>
      <c r="AG40" s="1">
        <v>36449</v>
      </c>
      <c r="AH40">
        <v>1200</v>
      </c>
      <c r="AI40" t="s">
        <v>40</v>
      </c>
      <c r="AJ40" t="s">
        <v>40</v>
      </c>
      <c r="AK40" t="s">
        <v>40</v>
      </c>
      <c r="AL40" t="s">
        <v>40</v>
      </c>
      <c r="AN40" s="2" t="s">
        <v>90</v>
      </c>
      <c r="AO40">
        <v>123</v>
      </c>
    </row>
    <row r="41" spans="1:44" ht="409.6" x14ac:dyDescent="0.3">
      <c r="A41">
        <v>5717623</v>
      </c>
      <c r="B41" t="s">
        <v>73</v>
      </c>
      <c r="C41" t="str">
        <f>_xlfn.XLOOKUP(B41,Match!$A$2:$A$111,Match!$B$2:$B$111)</f>
        <v>Volusia, FL</v>
      </c>
      <c r="D41" t="str">
        <f>_xlfn.XLOOKUP(C41,Validation!$B$2:$B$68,Validation!$A$2:$A$68)</f>
        <v>12127</v>
      </c>
      <c r="E41" t="s">
        <v>40</v>
      </c>
      <c r="F41" s="1">
        <v>36448</v>
      </c>
      <c r="G41">
        <v>2000</v>
      </c>
      <c r="H41" t="s">
        <v>41</v>
      </c>
      <c r="I41" t="s">
        <v>40</v>
      </c>
      <c r="J41" t="s">
        <v>40</v>
      </c>
      <c r="K41">
        <v>0</v>
      </c>
      <c r="L41">
        <v>0</v>
      </c>
      <c r="M41">
        <v>15000000</v>
      </c>
      <c r="N41">
        <v>0</v>
      </c>
      <c r="O41" t="s">
        <v>42</v>
      </c>
      <c r="P41" t="s">
        <v>43</v>
      </c>
      <c r="Q41" t="s">
        <v>40</v>
      </c>
      <c r="R41">
        <v>2413684</v>
      </c>
      <c r="S41" t="s">
        <v>44</v>
      </c>
      <c r="T41">
        <v>41</v>
      </c>
      <c r="U41" t="s">
        <v>66</v>
      </c>
      <c r="V41">
        <v>0</v>
      </c>
      <c r="W41">
        <v>0</v>
      </c>
      <c r="X41" t="s">
        <v>67</v>
      </c>
      <c r="Y41" t="s">
        <v>40</v>
      </c>
      <c r="Z41" t="s">
        <v>40</v>
      </c>
      <c r="AA41" t="s">
        <v>40</v>
      </c>
      <c r="AB41" t="s">
        <v>40</v>
      </c>
      <c r="AC41" t="s">
        <v>40</v>
      </c>
      <c r="AD41" t="s">
        <v>40</v>
      </c>
      <c r="AE41" t="s">
        <v>40</v>
      </c>
      <c r="AF41" t="s">
        <v>40</v>
      </c>
      <c r="AG41" s="1">
        <v>36449</v>
      </c>
      <c r="AH41">
        <v>1700</v>
      </c>
      <c r="AI41" t="s">
        <v>40</v>
      </c>
      <c r="AJ41" t="s">
        <v>40</v>
      </c>
      <c r="AK41" t="s">
        <v>40</v>
      </c>
      <c r="AL41" t="s">
        <v>40</v>
      </c>
      <c r="AN41" s="2" t="s">
        <v>90</v>
      </c>
      <c r="AO41">
        <v>124</v>
      </c>
    </row>
    <row r="42" spans="1:44" x14ac:dyDescent="0.3">
      <c r="A42">
        <v>5722400</v>
      </c>
      <c r="B42" t="s">
        <v>74</v>
      </c>
      <c r="C42" t="str">
        <f>_xlfn.XLOOKUP(B42,Match!$A$2:$A$111,Match!$B$2:$B$111)</f>
        <v>Flagler, FL</v>
      </c>
      <c r="D42" t="str">
        <f>_xlfn.XLOOKUP(C42,Validation!$B$2:$B$68,Validation!$A$2:$A$68)</f>
        <v>12035</v>
      </c>
      <c r="E42" t="s">
        <v>40</v>
      </c>
      <c r="F42" s="1">
        <v>36449</v>
      </c>
      <c r="G42">
        <v>1500</v>
      </c>
      <c r="H42" t="s">
        <v>41</v>
      </c>
      <c r="I42" t="s">
        <v>40</v>
      </c>
      <c r="J42" t="s">
        <v>40</v>
      </c>
      <c r="K42">
        <v>0</v>
      </c>
      <c r="L42">
        <v>0</v>
      </c>
      <c r="M42">
        <v>600000</v>
      </c>
      <c r="N42">
        <v>0</v>
      </c>
      <c r="O42" t="s">
        <v>42</v>
      </c>
      <c r="P42" t="s">
        <v>43</v>
      </c>
      <c r="Q42" t="s">
        <v>40</v>
      </c>
      <c r="R42">
        <v>2414411</v>
      </c>
      <c r="S42" t="s">
        <v>44</v>
      </c>
      <c r="T42">
        <v>38</v>
      </c>
      <c r="U42" t="s">
        <v>75</v>
      </c>
      <c r="V42">
        <v>0</v>
      </c>
      <c r="W42">
        <v>0</v>
      </c>
      <c r="X42" t="s">
        <v>67</v>
      </c>
      <c r="Y42" t="s">
        <v>40</v>
      </c>
      <c r="Z42" t="s">
        <v>40</v>
      </c>
      <c r="AA42" t="s">
        <v>40</v>
      </c>
      <c r="AB42" t="s">
        <v>40</v>
      </c>
      <c r="AC42" t="s">
        <v>40</v>
      </c>
      <c r="AD42" t="s">
        <v>40</v>
      </c>
      <c r="AE42" t="s">
        <v>40</v>
      </c>
      <c r="AF42" t="s">
        <v>40</v>
      </c>
      <c r="AG42" s="1">
        <v>36450</v>
      </c>
      <c r="AH42">
        <v>400</v>
      </c>
      <c r="AI42" t="s">
        <v>40</v>
      </c>
      <c r="AJ42" t="s">
        <v>40</v>
      </c>
      <c r="AK42" t="s">
        <v>40</v>
      </c>
      <c r="AL42" t="s">
        <v>40</v>
      </c>
      <c r="AN42" t="s">
        <v>92</v>
      </c>
      <c r="AO42">
        <v>125</v>
      </c>
    </row>
    <row r="43" spans="1:44" x14ac:dyDescent="0.3">
      <c r="A43">
        <v>5722401</v>
      </c>
      <c r="B43" t="s">
        <v>77</v>
      </c>
      <c r="C43" t="str">
        <f>_xlfn.XLOOKUP(B43,Match!$A$2:$A$111,Match!$B$2:$B$111)</f>
        <v>St. Johns, FL</v>
      </c>
      <c r="D43" t="str">
        <f>_xlfn.XLOOKUP(C43,Validation!$B$2:$B$68,Validation!$A$2:$A$68)</f>
        <v>12109</v>
      </c>
      <c r="E43" t="s">
        <v>40</v>
      </c>
      <c r="F43" s="1">
        <v>36449</v>
      </c>
      <c r="G43">
        <v>1700</v>
      </c>
      <c r="H43" t="s">
        <v>41</v>
      </c>
      <c r="I43" t="s">
        <v>40</v>
      </c>
      <c r="J43" t="s">
        <v>40</v>
      </c>
      <c r="K43">
        <v>0</v>
      </c>
      <c r="L43">
        <v>0</v>
      </c>
      <c r="M43">
        <v>300000</v>
      </c>
      <c r="N43">
        <v>0</v>
      </c>
      <c r="O43" t="s">
        <v>42</v>
      </c>
      <c r="P43" t="s">
        <v>43</v>
      </c>
      <c r="Q43" t="s">
        <v>40</v>
      </c>
      <c r="R43">
        <v>2413088</v>
      </c>
      <c r="S43" t="s">
        <v>44</v>
      </c>
      <c r="T43">
        <v>33</v>
      </c>
      <c r="U43" t="s">
        <v>75</v>
      </c>
      <c r="V43">
        <v>0</v>
      </c>
      <c r="W43">
        <v>0</v>
      </c>
      <c r="X43" t="s">
        <v>67</v>
      </c>
      <c r="Y43" t="s">
        <v>40</v>
      </c>
      <c r="Z43" t="s">
        <v>40</v>
      </c>
      <c r="AA43" t="s">
        <v>40</v>
      </c>
      <c r="AB43" t="s">
        <v>40</v>
      </c>
      <c r="AC43" t="s">
        <v>40</v>
      </c>
      <c r="AD43" t="s">
        <v>40</v>
      </c>
      <c r="AE43" t="s">
        <v>40</v>
      </c>
      <c r="AF43" t="s">
        <v>40</v>
      </c>
      <c r="AG43" s="1">
        <v>36450</v>
      </c>
      <c r="AH43">
        <v>1800</v>
      </c>
      <c r="AI43" t="s">
        <v>40</v>
      </c>
      <c r="AJ43" t="s">
        <v>40</v>
      </c>
      <c r="AK43" t="s">
        <v>40</v>
      </c>
      <c r="AL43" t="s">
        <v>40</v>
      </c>
      <c r="AM43" t="s">
        <v>93</v>
      </c>
      <c r="AO43">
        <v>126</v>
      </c>
    </row>
    <row r="44" spans="1:44" x14ac:dyDescent="0.3">
      <c r="A44">
        <v>5722402</v>
      </c>
      <c r="B44" t="s">
        <v>79</v>
      </c>
      <c r="C44" t="str">
        <f>_xlfn.XLOOKUP(B44,Match!$A$2:$A$111,Match!$B$2:$B$111)</f>
        <v>Duval, FL</v>
      </c>
      <c r="D44" t="str">
        <f>_xlfn.XLOOKUP(C44,Validation!$B$2:$B$68,Validation!$A$2:$A$68)</f>
        <v>12031</v>
      </c>
      <c r="E44" t="s">
        <v>40</v>
      </c>
      <c r="F44" s="1">
        <v>36449</v>
      </c>
      <c r="G44">
        <v>1800</v>
      </c>
      <c r="H44" t="s">
        <v>41</v>
      </c>
      <c r="I44" t="s">
        <v>40</v>
      </c>
      <c r="J44" t="s">
        <v>40</v>
      </c>
      <c r="K44">
        <v>0</v>
      </c>
      <c r="L44">
        <v>0</v>
      </c>
      <c r="M44">
        <v>300000</v>
      </c>
      <c r="N44">
        <v>0</v>
      </c>
      <c r="O44" t="s">
        <v>42</v>
      </c>
      <c r="P44" t="s">
        <v>43</v>
      </c>
      <c r="Q44" t="s">
        <v>40</v>
      </c>
      <c r="R44">
        <v>2414412</v>
      </c>
      <c r="S44" t="s">
        <v>44</v>
      </c>
      <c r="T44">
        <v>25</v>
      </c>
      <c r="U44" t="s">
        <v>75</v>
      </c>
      <c r="V44">
        <v>0</v>
      </c>
      <c r="W44">
        <v>0</v>
      </c>
      <c r="X44" t="s">
        <v>67</v>
      </c>
      <c r="Y44" t="s">
        <v>40</v>
      </c>
      <c r="Z44" t="s">
        <v>40</v>
      </c>
      <c r="AA44" t="s">
        <v>40</v>
      </c>
      <c r="AB44" t="s">
        <v>40</v>
      </c>
      <c r="AC44" t="s">
        <v>40</v>
      </c>
      <c r="AD44" t="s">
        <v>40</v>
      </c>
      <c r="AE44" t="s">
        <v>40</v>
      </c>
      <c r="AF44" t="s">
        <v>40</v>
      </c>
      <c r="AG44" s="1">
        <v>36450</v>
      </c>
      <c r="AH44">
        <v>600</v>
      </c>
      <c r="AI44" t="s">
        <v>40</v>
      </c>
      <c r="AJ44" t="s">
        <v>40</v>
      </c>
      <c r="AK44" t="s">
        <v>40</v>
      </c>
      <c r="AL44" t="s">
        <v>40</v>
      </c>
      <c r="AM44" t="s">
        <v>94</v>
      </c>
      <c r="AO44">
        <v>127</v>
      </c>
    </row>
    <row r="45" spans="1:44" ht="409.6" x14ac:dyDescent="0.3">
      <c r="A45">
        <v>5157574</v>
      </c>
      <c r="B45" t="s">
        <v>57</v>
      </c>
      <c r="C45" t="str">
        <f>_xlfn.XLOOKUP(B45,Match!$A$2:$A$111,Match!$B$2:$B$111)</f>
        <v>Lee, FL</v>
      </c>
      <c r="D45" t="str">
        <f>_xlfn.XLOOKUP(C45,Validation!$B$2:$B$68,Validation!$A$2:$A$68)</f>
        <v>12071</v>
      </c>
      <c r="E45" t="s">
        <v>40</v>
      </c>
      <c r="F45" s="1">
        <v>36786</v>
      </c>
      <c r="G45">
        <v>330</v>
      </c>
      <c r="H45" t="s">
        <v>41</v>
      </c>
      <c r="I45" t="s">
        <v>40</v>
      </c>
      <c r="J45" t="s">
        <v>40</v>
      </c>
      <c r="K45">
        <v>0</v>
      </c>
      <c r="L45">
        <v>0</v>
      </c>
      <c r="M45">
        <v>500000</v>
      </c>
      <c r="N45">
        <v>0</v>
      </c>
      <c r="O45" t="s">
        <v>42</v>
      </c>
      <c r="P45" t="s">
        <v>43</v>
      </c>
      <c r="Q45" t="s">
        <v>40</v>
      </c>
      <c r="R45">
        <v>1104015</v>
      </c>
      <c r="S45" t="s">
        <v>44</v>
      </c>
      <c r="T45">
        <v>65</v>
      </c>
      <c r="U45" t="s">
        <v>54</v>
      </c>
      <c r="V45">
        <v>0</v>
      </c>
      <c r="W45">
        <v>0</v>
      </c>
      <c r="X45" t="s">
        <v>95</v>
      </c>
      <c r="Y45" t="s">
        <v>96</v>
      </c>
      <c r="Z45" t="s">
        <v>97</v>
      </c>
      <c r="AA45" t="s">
        <v>98</v>
      </c>
      <c r="AB45" t="s">
        <v>40</v>
      </c>
      <c r="AC45" t="s">
        <v>40</v>
      </c>
      <c r="AD45" t="s">
        <v>40</v>
      </c>
      <c r="AE45" t="s">
        <v>40</v>
      </c>
      <c r="AF45" t="s">
        <v>40</v>
      </c>
      <c r="AG45" t="s">
        <v>40</v>
      </c>
      <c r="AH45" t="s">
        <v>40</v>
      </c>
      <c r="AI45" t="s">
        <v>40</v>
      </c>
      <c r="AJ45" s="1">
        <v>36786</v>
      </c>
      <c r="AK45">
        <v>1600</v>
      </c>
      <c r="AL45" t="s">
        <v>40</v>
      </c>
      <c r="AM45" t="s">
        <v>40</v>
      </c>
      <c r="AN45" t="s">
        <v>40</v>
      </c>
      <c r="AO45" t="s">
        <v>40</v>
      </c>
      <c r="AQ45" s="2" t="s">
        <v>99</v>
      </c>
      <c r="AR45">
        <v>128</v>
      </c>
    </row>
    <row r="46" spans="1:44" ht="409.6" x14ac:dyDescent="0.3">
      <c r="A46">
        <v>5157575</v>
      </c>
      <c r="B46" t="s">
        <v>59</v>
      </c>
      <c r="C46" t="str">
        <f>_xlfn.XLOOKUP(B46,Match!$A$2:$A$111,Match!$B$2:$B$111)</f>
        <v>Charlotte, FL</v>
      </c>
      <c r="D46" t="str">
        <f>_xlfn.XLOOKUP(C46,Validation!$B$2:$B$68,Validation!$A$2:$A$68)</f>
        <v>12015</v>
      </c>
      <c r="E46" t="s">
        <v>40</v>
      </c>
      <c r="F46" s="1">
        <v>36786</v>
      </c>
      <c r="G46">
        <v>400</v>
      </c>
      <c r="H46" t="s">
        <v>41</v>
      </c>
      <c r="I46" t="s">
        <v>40</v>
      </c>
      <c r="J46" t="s">
        <v>40</v>
      </c>
      <c r="K46">
        <v>0</v>
      </c>
      <c r="L46">
        <v>0</v>
      </c>
      <c r="M46">
        <v>150000</v>
      </c>
      <c r="N46">
        <v>0</v>
      </c>
      <c r="O46" t="s">
        <v>42</v>
      </c>
      <c r="P46" t="s">
        <v>43</v>
      </c>
      <c r="Q46" t="s">
        <v>40</v>
      </c>
      <c r="R46">
        <v>1104015</v>
      </c>
      <c r="S46" t="s">
        <v>44</v>
      </c>
      <c r="T46">
        <v>62</v>
      </c>
      <c r="U46" t="s">
        <v>54</v>
      </c>
      <c r="V46">
        <v>0</v>
      </c>
      <c r="W46">
        <v>0</v>
      </c>
      <c r="X46" t="s">
        <v>95</v>
      </c>
      <c r="Y46" t="s">
        <v>96</v>
      </c>
      <c r="Z46" t="s">
        <v>97</v>
      </c>
      <c r="AA46" t="s">
        <v>98</v>
      </c>
      <c r="AB46" t="s">
        <v>40</v>
      </c>
      <c r="AC46" t="s">
        <v>40</v>
      </c>
      <c r="AD46" t="s">
        <v>40</v>
      </c>
      <c r="AE46" t="s">
        <v>40</v>
      </c>
      <c r="AF46" t="s">
        <v>40</v>
      </c>
      <c r="AG46" t="s">
        <v>40</v>
      </c>
      <c r="AH46" t="s">
        <v>40</v>
      </c>
      <c r="AI46" t="s">
        <v>40</v>
      </c>
      <c r="AJ46" s="1">
        <v>36786</v>
      </c>
      <c r="AK46">
        <v>1600</v>
      </c>
      <c r="AL46" t="s">
        <v>40</v>
      </c>
      <c r="AM46" t="s">
        <v>40</v>
      </c>
      <c r="AN46" t="s">
        <v>40</v>
      </c>
      <c r="AO46" t="s">
        <v>40</v>
      </c>
      <c r="AQ46" s="2" t="s">
        <v>99</v>
      </c>
      <c r="AR46">
        <v>129</v>
      </c>
    </row>
    <row r="47" spans="1:44" ht="409.6" x14ac:dyDescent="0.3">
      <c r="A47">
        <v>5157588</v>
      </c>
      <c r="B47" t="s">
        <v>100</v>
      </c>
      <c r="C47" t="str">
        <f>_xlfn.XLOOKUP(B47,Match!$A$2:$A$111,Match!$B$2:$B$111)</f>
        <v>Pinellas, FL</v>
      </c>
      <c r="D47" t="str">
        <f>_xlfn.XLOOKUP(C47,Validation!$B$2:$B$68,Validation!$A$2:$A$68)</f>
        <v>12103</v>
      </c>
      <c r="E47" t="s">
        <v>40</v>
      </c>
      <c r="F47" s="1">
        <v>36786</v>
      </c>
      <c r="G47">
        <v>500</v>
      </c>
      <c r="H47" t="s">
        <v>41</v>
      </c>
      <c r="I47" t="s">
        <v>40</v>
      </c>
      <c r="J47" t="s">
        <v>40</v>
      </c>
      <c r="K47">
        <v>0</v>
      </c>
      <c r="L47">
        <v>0</v>
      </c>
      <c r="M47">
        <v>10000</v>
      </c>
      <c r="N47">
        <v>0</v>
      </c>
      <c r="O47" t="s">
        <v>42</v>
      </c>
      <c r="P47" t="s">
        <v>43</v>
      </c>
      <c r="Q47" t="s">
        <v>40</v>
      </c>
      <c r="R47">
        <v>1104015</v>
      </c>
      <c r="S47" t="s">
        <v>44</v>
      </c>
      <c r="T47">
        <v>50</v>
      </c>
      <c r="U47" t="s">
        <v>54</v>
      </c>
      <c r="V47">
        <v>0</v>
      </c>
      <c r="W47">
        <v>0</v>
      </c>
      <c r="X47" t="s">
        <v>95</v>
      </c>
      <c r="Y47" t="s">
        <v>96</v>
      </c>
      <c r="Z47" t="s">
        <v>97</v>
      </c>
      <c r="AA47" t="s">
        <v>98</v>
      </c>
      <c r="AB47" t="s">
        <v>40</v>
      </c>
      <c r="AC47" t="s">
        <v>40</v>
      </c>
      <c r="AD47" t="s">
        <v>40</v>
      </c>
      <c r="AE47" t="s">
        <v>40</v>
      </c>
      <c r="AF47" t="s">
        <v>40</v>
      </c>
      <c r="AG47" t="s">
        <v>40</v>
      </c>
      <c r="AH47" t="s">
        <v>40</v>
      </c>
      <c r="AI47" t="s">
        <v>40</v>
      </c>
      <c r="AJ47" s="1">
        <v>36787</v>
      </c>
      <c r="AK47">
        <v>400</v>
      </c>
      <c r="AL47" t="s">
        <v>40</v>
      </c>
      <c r="AM47" t="s">
        <v>40</v>
      </c>
      <c r="AN47" t="s">
        <v>40</v>
      </c>
      <c r="AO47" t="s">
        <v>40</v>
      </c>
      <c r="AQ47" s="2" t="s">
        <v>99</v>
      </c>
      <c r="AR47">
        <v>130</v>
      </c>
    </row>
    <row r="48" spans="1:44" ht="409.6" x14ac:dyDescent="0.3">
      <c r="A48">
        <v>5157580</v>
      </c>
      <c r="B48" t="s">
        <v>58</v>
      </c>
      <c r="C48" t="str">
        <f>_xlfn.XLOOKUP(B48,Match!$A$2:$A$111,Match!$B$2:$B$111)</f>
        <v>Highlands, FL</v>
      </c>
      <c r="D48" t="str">
        <f>_xlfn.XLOOKUP(C48,Validation!$B$2:$B$68,Validation!$A$2:$A$68)</f>
        <v>12055</v>
      </c>
      <c r="E48" t="s">
        <v>40</v>
      </c>
      <c r="F48" s="1">
        <v>36786</v>
      </c>
      <c r="G48">
        <v>500</v>
      </c>
      <c r="H48" t="s">
        <v>41</v>
      </c>
      <c r="I48" t="s">
        <v>40</v>
      </c>
      <c r="J48" t="s">
        <v>40</v>
      </c>
      <c r="K48">
        <v>0</v>
      </c>
      <c r="L48">
        <v>0</v>
      </c>
      <c r="M48">
        <v>50000</v>
      </c>
      <c r="N48">
        <v>0</v>
      </c>
      <c r="O48" t="s">
        <v>42</v>
      </c>
      <c r="P48" t="s">
        <v>43</v>
      </c>
      <c r="Q48" t="s">
        <v>40</v>
      </c>
      <c r="R48">
        <v>1104015</v>
      </c>
      <c r="S48" t="s">
        <v>44</v>
      </c>
      <c r="T48">
        <v>57</v>
      </c>
      <c r="U48" t="s">
        <v>54</v>
      </c>
      <c r="V48">
        <v>0</v>
      </c>
      <c r="W48">
        <v>0</v>
      </c>
      <c r="X48" t="s">
        <v>95</v>
      </c>
      <c r="Y48" t="s">
        <v>96</v>
      </c>
      <c r="Z48" t="s">
        <v>97</v>
      </c>
      <c r="AA48" t="s">
        <v>98</v>
      </c>
      <c r="AB48" t="s">
        <v>40</v>
      </c>
      <c r="AC48" t="s">
        <v>40</v>
      </c>
      <c r="AD48" t="s">
        <v>40</v>
      </c>
      <c r="AE48" t="s">
        <v>40</v>
      </c>
      <c r="AF48" t="s">
        <v>40</v>
      </c>
      <c r="AG48" t="s">
        <v>40</v>
      </c>
      <c r="AH48" t="s">
        <v>40</v>
      </c>
      <c r="AI48" t="s">
        <v>40</v>
      </c>
      <c r="AJ48" s="1">
        <v>36786</v>
      </c>
      <c r="AK48">
        <v>1600</v>
      </c>
      <c r="AL48" t="s">
        <v>40</v>
      </c>
      <c r="AM48" t="s">
        <v>40</v>
      </c>
      <c r="AN48" t="s">
        <v>40</v>
      </c>
      <c r="AO48" t="s">
        <v>40</v>
      </c>
      <c r="AQ48" s="2" t="s">
        <v>99</v>
      </c>
      <c r="AR48">
        <v>131</v>
      </c>
    </row>
    <row r="49" spans="1:44" ht="409.6" x14ac:dyDescent="0.3">
      <c r="A49">
        <v>5157584</v>
      </c>
      <c r="B49" t="s">
        <v>101</v>
      </c>
      <c r="C49" t="str">
        <f>_xlfn.XLOOKUP(B49,Match!$A$2:$A$111,Match!$B$2:$B$111)</f>
        <v>Pasco, FL</v>
      </c>
      <c r="D49" t="str">
        <f>_xlfn.XLOOKUP(C49,Validation!$B$2:$B$68,Validation!$A$2:$A$68)</f>
        <v>12101</v>
      </c>
      <c r="E49" t="s">
        <v>40</v>
      </c>
      <c r="F49" s="1">
        <v>36786</v>
      </c>
      <c r="G49">
        <v>500</v>
      </c>
      <c r="H49" t="s">
        <v>41</v>
      </c>
      <c r="I49" t="s">
        <v>40</v>
      </c>
      <c r="J49" t="s">
        <v>40</v>
      </c>
      <c r="K49">
        <v>0</v>
      </c>
      <c r="L49">
        <v>0</v>
      </c>
      <c r="M49">
        <v>250000</v>
      </c>
      <c r="N49">
        <v>0</v>
      </c>
      <c r="O49" t="s">
        <v>42</v>
      </c>
      <c r="P49" t="s">
        <v>43</v>
      </c>
      <c r="Q49" t="s">
        <v>40</v>
      </c>
      <c r="R49">
        <v>1104015</v>
      </c>
      <c r="S49" t="s">
        <v>44</v>
      </c>
      <c r="T49">
        <v>49</v>
      </c>
      <c r="U49" t="s">
        <v>54</v>
      </c>
      <c r="V49">
        <v>0</v>
      </c>
      <c r="W49">
        <v>0</v>
      </c>
      <c r="X49" t="s">
        <v>95</v>
      </c>
      <c r="Y49" t="s">
        <v>96</v>
      </c>
      <c r="Z49" t="s">
        <v>97</v>
      </c>
      <c r="AA49" t="s">
        <v>98</v>
      </c>
      <c r="AB49" t="s">
        <v>40</v>
      </c>
      <c r="AC49" t="s">
        <v>40</v>
      </c>
      <c r="AD49" t="s">
        <v>40</v>
      </c>
      <c r="AE49" t="s">
        <v>40</v>
      </c>
      <c r="AF49" t="s">
        <v>40</v>
      </c>
      <c r="AG49" t="s">
        <v>40</v>
      </c>
      <c r="AH49" t="s">
        <v>40</v>
      </c>
      <c r="AI49" t="s">
        <v>40</v>
      </c>
      <c r="AJ49" s="1">
        <v>36787</v>
      </c>
      <c r="AK49">
        <v>400</v>
      </c>
      <c r="AL49" t="s">
        <v>40</v>
      </c>
      <c r="AM49" t="s">
        <v>40</v>
      </c>
      <c r="AN49" t="s">
        <v>40</v>
      </c>
      <c r="AO49" t="s">
        <v>40</v>
      </c>
      <c r="AQ49" s="2" t="s">
        <v>99</v>
      </c>
      <c r="AR49">
        <v>132</v>
      </c>
    </row>
    <row r="50" spans="1:44" ht="409.6" x14ac:dyDescent="0.3">
      <c r="A50">
        <v>5157583</v>
      </c>
      <c r="B50" t="s">
        <v>63</v>
      </c>
      <c r="C50" t="str">
        <f>_xlfn.XLOOKUP(B50,Match!$A$2:$A$111,Match!$B$2:$B$111)</f>
        <v>Manatee, FL</v>
      </c>
      <c r="D50" t="str">
        <f>_xlfn.XLOOKUP(C50,Validation!$B$2:$B$68,Validation!$A$2:$A$68)</f>
        <v>12081</v>
      </c>
      <c r="E50" t="s">
        <v>40</v>
      </c>
      <c r="F50" s="1">
        <v>36786</v>
      </c>
      <c r="G50">
        <v>500</v>
      </c>
      <c r="H50" t="s">
        <v>41</v>
      </c>
      <c r="I50" t="s">
        <v>40</v>
      </c>
      <c r="J50" t="s">
        <v>40</v>
      </c>
      <c r="K50">
        <v>0</v>
      </c>
      <c r="L50">
        <v>0</v>
      </c>
      <c r="M50">
        <v>1000000</v>
      </c>
      <c r="N50">
        <v>0</v>
      </c>
      <c r="O50" t="s">
        <v>42</v>
      </c>
      <c r="P50" t="s">
        <v>43</v>
      </c>
      <c r="Q50" t="s">
        <v>40</v>
      </c>
      <c r="R50">
        <v>1104015</v>
      </c>
      <c r="S50" t="s">
        <v>44</v>
      </c>
      <c r="T50">
        <v>55</v>
      </c>
      <c r="U50" t="s">
        <v>54</v>
      </c>
      <c r="V50">
        <v>0</v>
      </c>
      <c r="W50">
        <v>0</v>
      </c>
      <c r="X50" t="s">
        <v>95</v>
      </c>
      <c r="Y50" t="s">
        <v>96</v>
      </c>
      <c r="Z50" t="s">
        <v>97</v>
      </c>
      <c r="AA50" t="s">
        <v>98</v>
      </c>
      <c r="AB50" t="s">
        <v>40</v>
      </c>
      <c r="AC50" t="s">
        <v>40</v>
      </c>
      <c r="AD50" t="s">
        <v>40</v>
      </c>
      <c r="AE50" t="s">
        <v>40</v>
      </c>
      <c r="AF50" t="s">
        <v>40</v>
      </c>
      <c r="AG50" t="s">
        <v>40</v>
      </c>
      <c r="AH50" t="s">
        <v>40</v>
      </c>
      <c r="AI50" t="s">
        <v>40</v>
      </c>
      <c r="AJ50" s="1">
        <v>36786</v>
      </c>
      <c r="AK50">
        <v>1600</v>
      </c>
      <c r="AL50" t="s">
        <v>40</v>
      </c>
      <c r="AM50" t="s">
        <v>40</v>
      </c>
      <c r="AN50" t="s">
        <v>40</v>
      </c>
      <c r="AO50" t="s">
        <v>40</v>
      </c>
      <c r="AQ50" s="2" t="s">
        <v>99</v>
      </c>
      <c r="AR50">
        <v>133</v>
      </c>
    </row>
    <row r="51" spans="1:44" ht="409.6" x14ac:dyDescent="0.3">
      <c r="A51">
        <v>5157582</v>
      </c>
      <c r="B51" t="s">
        <v>102</v>
      </c>
      <c r="C51" t="str">
        <f>_xlfn.XLOOKUP(B51,Match!$A$2:$A$111,Match!$B$2:$B$111)</f>
        <v>Levy, FL</v>
      </c>
      <c r="D51" t="str">
        <f>_xlfn.XLOOKUP(C51,Validation!$B$2:$B$68,Validation!$A$2:$A$68)</f>
        <v>12075</v>
      </c>
      <c r="E51" t="s">
        <v>40</v>
      </c>
      <c r="F51" s="1">
        <v>36786</v>
      </c>
      <c r="G51">
        <v>500</v>
      </c>
      <c r="H51" t="s">
        <v>41</v>
      </c>
      <c r="I51" t="s">
        <v>40</v>
      </c>
      <c r="J51" t="s">
        <v>40</v>
      </c>
      <c r="K51">
        <v>0</v>
      </c>
      <c r="L51">
        <v>0</v>
      </c>
      <c r="M51">
        <v>100000</v>
      </c>
      <c r="N51">
        <v>0</v>
      </c>
      <c r="O51" t="s">
        <v>42</v>
      </c>
      <c r="P51" t="s">
        <v>43</v>
      </c>
      <c r="Q51" t="s">
        <v>40</v>
      </c>
      <c r="R51">
        <v>1104015</v>
      </c>
      <c r="S51" t="s">
        <v>44</v>
      </c>
      <c r="T51">
        <v>39</v>
      </c>
      <c r="U51" t="s">
        <v>54</v>
      </c>
      <c r="V51">
        <v>0</v>
      </c>
      <c r="W51">
        <v>0</v>
      </c>
      <c r="X51" t="s">
        <v>95</v>
      </c>
      <c r="Y51" t="s">
        <v>96</v>
      </c>
      <c r="Z51" t="s">
        <v>97</v>
      </c>
      <c r="AA51" t="s">
        <v>98</v>
      </c>
      <c r="AB51" t="s">
        <v>40</v>
      </c>
      <c r="AC51" t="s">
        <v>40</v>
      </c>
      <c r="AD51" t="s">
        <v>40</v>
      </c>
      <c r="AE51" t="s">
        <v>40</v>
      </c>
      <c r="AF51" t="s">
        <v>40</v>
      </c>
      <c r="AG51" t="s">
        <v>40</v>
      </c>
      <c r="AH51" t="s">
        <v>40</v>
      </c>
      <c r="AI51" t="s">
        <v>40</v>
      </c>
      <c r="AJ51" s="1">
        <v>36787</v>
      </c>
      <c r="AK51">
        <v>400</v>
      </c>
      <c r="AL51" t="s">
        <v>40</v>
      </c>
      <c r="AM51" t="s">
        <v>40</v>
      </c>
      <c r="AN51" t="s">
        <v>40</v>
      </c>
      <c r="AO51" t="s">
        <v>40</v>
      </c>
      <c r="AQ51" s="2" t="s">
        <v>99</v>
      </c>
      <c r="AR51">
        <v>134</v>
      </c>
    </row>
    <row r="52" spans="1:44" ht="409.6" x14ac:dyDescent="0.3">
      <c r="A52">
        <v>5157581</v>
      </c>
      <c r="B52" t="s">
        <v>61</v>
      </c>
      <c r="C52" t="str">
        <f>_xlfn.XLOOKUP(B52,Match!$A$2:$A$111,Match!$B$2:$B$111)</f>
        <v>Hillsborough, FL</v>
      </c>
      <c r="D52" t="str">
        <f>_xlfn.XLOOKUP(C52,Validation!$B$2:$B$68,Validation!$A$2:$A$68)</f>
        <v>12057</v>
      </c>
      <c r="E52" t="s">
        <v>40</v>
      </c>
      <c r="F52" s="1">
        <v>36786</v>
      </c>
      <c r="G52">
        <v>500</v>
      </c>
      <c r="H52" t="s">
        <v>41</v>
      </c>
      <c r="I52" t="s">
        <v>40</v>
      </c>
      <c r="J52" t="s">
        <v>40</v>
      </c>
      <c r="K52">
        <v>0</v>
      </c>
      <c r="L52">
        <v>0</v>
      </c>
      <c r="M52">
        <v>500000</v>
      </c>
      <c r="N52">
        <v>0</v>
      </c>
      <c r="O52" t="s">
        <v>42</v>
      </c>
      <c r="P52" t="s">
        <v>43</v>
      </c>
      <c r="Q52" t="s">
        <v>40</v>
      </c>
      <c r="R52">
        <v>1104015</v>
      </c>
      <c r="S52" t="s">
        <v>44</v>
      </c>
      <c r="T52">
        <v>51</v>
      </c>
      <c r="U52" t="s">
        <v>54</v>
      </c>
      <c r="V52">
        <v>0</v>
      </c>
      <c r="W52">
        <v>0</v>
      </c>
      <c r="X52" t="s">
        <v>95</v>
      </c>
      <c r="Y52" t="s">
        <v>96</v>
      </c>
      <c r="Z52" t="s">
        <v>97</v>
      </c>
      <c r="AA52" t="s">
        <v>98</v>
      </c>
      <c r="AB52" t="s">
        <v>40</v>
      </c>
      <c r="AC52" t="s">
        <v>40</v>
      </c>
      <c r="AD52" t="s">
        <v>40</v>
      </c>
      <c r="AE52" t="s">
        <v>40</v>
      </c>
      <c r="AF52" t="s">
        <v>40</v>
      </c>
      <c r="AG52" t="s">
        <v>40</v>
      </c>
      <c r="AH52" t="s">
        <v>40</v>
      </c>
      <c r="AI52" t="s">
        <v>40</v>
      </c>
      <c r="AJ52" s="1">
        <v>36786</v>
      </c>
      <c r="AK52">
        <v>2200</v>
      </c>
      <c r="AL52" t="s">
        <v>40</v>
      </c>
      <c r="AM52" t="s">
        <v>40</v>
      </c>
      <c r="AN52" t="s">
        <v>40</v>
      </c>
      <c r="AO52" t="s">
        <v>40</v>
      </c>
      <c r="AQ52" s="2" t="s">
        <v>99</v>
      </c>
      <c r="AR52">
        <v>135</v>
      </c>
    </row>
    <row r="53" spans="1:44" ht="409.6" x14ac:dyDescent="0.3">
      <c r="A53">
        <v>5157579</v>
      </c>
      <c r="B53" t="s">
        <v>103</v>
      </c>
      <c r="C53" t="str">
        <f>_xlfn.XLOOKUP(B53,Match!$A$2:$A$111,Match!$B$2:$B$111)</f>
        <v>Hernando, FL</v>
      </c>
      <c r="D53" t="str">
        <f>_xlfn.XLOOKUP(C53,Validation!$B$2:$B$68,Validation!$A$2:$A$68)</f>
        <v>12053</v>
      </c>
      <c r="E53" t="s">
        <v>40</v>
      </c>
      <c r="F53" s="1">
        <v>36786</v>
      </c>
      <c r="G53">
        <v>500</v>
      </c>
      <c r="H53" t="s">
        <v>41</v>
      </c>
      <c r="I53" t="s">
        <v>40</v>
      </c>
      <c r="J53" t="s">
        <v>40</v>
      </c>
      <c r="K53">
        <v>0</v>
      </c>
      <c r="L53">
        <v>0</v>
      </c>
      <c r="M53">
        <v>100000</v>
      </c>
      <c r="N53">
        <v>0</v>
      </c>
      <c r="O53" t="s">
        <v>42</v>
      </c>
      <c r="P53" t="s">
        <v>43</v>
      </c>
      <c r="Q53" t="s">
        <v>40</v>
      </c>
      <c r="R53">
        <v>1104015</v>
      </c>
      <c r="S53" t="s">
        <v>44</v>
      </c>
      <c r="T53">
        <v>48</v>
      </c>
      <c r="U53" t="s">
        <v>54</v>
      </c>
      <c r="V53">
        <v>0</v>
      </c>
      <c r="W53">
        <v>0</v>
      </c>
      <c r="X53" t="s">
        <v>95</v>
      </c>
      <c r="Y53" t="s">
        <v>96</v>
      </c>
      <c r="Z53" t="s">
        <v>97</v>
      </c>
      <c r="AA53" t="s">
        <v>98</v>
      </c>
      <c r="AB53" t="s">
        <v>40</v>
      </c>
      <c r="AC53" t="s">
        <v>40</v>
      </c>
      <c r="AD53" t="s">
        <v>40</v>
      </c>
      <c r="AE53" t="s">
        <v>40</v>
      </c>
      <c r="AF53" t="s">
        <v>40</v>
      </c>
      <c r="AG53" t="s">
        <v>40</v>
      </c>
      <c r="AH53" t="s">
        <v>40</v>
      </c>
      <c r="AI53" t="s">
        <v>40</v>
      </c>
      <c r="AJ53" s="1">
        <v>36787</v>
      </c>
      <c r="AK53">
        <v>400</v>
      </c>
      <c r="AL53" t="s">
        <v>40</v>
      </c>
      <c r="AM53" t="s">
        <v>40</v>
      </c>
      <c r="AN53" t="s">
        <v>40</v>
      </c>
      <c r="AO53" t="s">
        <v>40</v>
      </c>
      <c r="AQ53" s="2" t="s">
        <v>99</v>
      </c>
      <c r="AR53">
        <v>136</v>
      </c>
    </row>
    <row r="54" spans="1:44" ht="409.6" x14ac:dyDescent="0.3">
      <c r="A54">
        <v>5157578</v>
      </c>
      <c r="B54" t="s">
        <v>64</v>
      </c>
      <c r="C54" t="str">
        <f>_xlfn.XLOOKUP(B54,Match!$A$2:$A$111,Match!$B$2:$B$111)</f>
        <v>Hardee, FL</v>
      </c>
      <c r="D54" t="str">
        <f>_xlfn.XLOOKUP(C54,Validation!$B$2:$B$68,Validation!$A$2:$A$68)</f>
        <v>12049</v>
      </c>
      <c r="E54" t="s">
        <v>40</v>
      </c>
      <c r="F54" s="1">
        <v>36786</v>
      </c>
      <c r="G54">
        <v>500</v>
      </c>
      <c r="H54" t="s">
        <v>41</v>
      </c>
      <c r="I54" t="s">
        <v>40</v>
      </c>
      <c r="J54" t="s">
        <v>40</v>
      </c>
      <c r="K54">
        <v>0</v>
      </c>
      <c r="L54">
        <v>0</v>
      </c>
      <c r="M54">
        <v>20000</v>
      </c>
      <c r="N54">
        <v>0</v>
      </c>
      <c r="O54" t="s">
        <v>42</v>
      </c>
      <c r="P54" t="s">
        <v>43</v>
      </c>
      <c r="Q54" t="s">
        <v>40</v>
      </c>
      <c r="R54">
        <v>1104015</v>
      </c>
      <c r="S54" t="s">
        <v>44</v>
      </c>
      <c r="T54">
        <v>56</v>
      </c>
      <c r="U54" t="s">
        <v>54</v>
      </c>
      <c r="V54">
        <v>0</v>
      </c>
      <c r="W54">
        <v>0</v>
      </c>
      <c r="X54" t="s">
        <v>95</v>
      </c>
      <c r="Y54" t="s">
        <v>96</v>
      </c>
      <c r="Z54" t="s">
        <v>97</v>
      </c>
      <c r="AA54" t="s">
        <v>98</v>
      </c>
      <c r="AB54" t="s">
        <v>40</v>
      </c>
      <c r="AC54" t="s">
        <v>40</v>
      </c>
      <c r="AD54" t="s">
        <v>40</v>
      </c>
      <c r="AE54" t="s">
        <v>40</v>
      </c>
      <c r="AF54" t="s">
        <v>40</v>
      </c>
      <c r="AG54" t="s">
        <v>40</v>
      </c>
      <c r="AH54" t="s">
        <v>40</v>
      </c>
      <c r="AI54" t="s">
        <v>40</v>
      </c>
      <c r="AJ54" s="1">
        <v>36786</v>
      </c>
      <c r="AK54">
        <v>1600</v>
      </c>
      <c r="AL54" t="s">
        <v>40</v>
      </c>
      <c r="AM54" t="s">
        <v>40</v>
      </c>
      <c r="AN54" t="s">
        <v>40</v>
      </c>
      <c r="AO54" t="s">
        <v>40</v>
      </c>
      <c r="AQ54" s="2" t="s">
        <v>99</v>
      </c>
      <c r="AR54">
        <v>137</v>
      </c>
    </row>
    <row r="55" spans="1:44" ht="409.6" x14ac:dyDescent="0.3">
      <c r="A55">
        <v>5157577</v>
      </c>
      <c r="B55" t="s">
        <v>53</v>
      </c>
      <c r="C55" t="str">
        <f>_xlfn.XLOOKUP(B55,Match!$A$2:$A$111,Match!$B$2:$B$111)</f>
        <v>DeSoto, FL</v>
      </c>
      <c r="D55" t="str">
        <f>_xlfn.XLOOKUP(C55,Validation!$B$2:$B$68,Validation!$A$2:$A$68)</f>
        <v>12027</v>
      </c>
      <c r="E55" t="s">
        <v>40</v>
      </c>
      <c r="F55" s="1">
        <v>36786</v>
      </c>
      <c r="G55">
        <v>500</v>
      </c>
      <c r="H55" t="s">
        <v>41</v>
      </c>
      <c r="I55" t="s">
        <v>40</v>
      </c>
      <c r="J55" t="s">
        <v>40</v>
      </c>
      <c r="K55">
        <v>0</v>
      </c>
      <c r="L55">
        <v>0</v>
      </c>
      <c r="M55">
        <v>20000</v>
      </c>
      <c r="N55">
        <v>0</v>
      </c>
      <c r="O55" t="s">
        <v>42</v>
      </c>
      <c r="P55" t="s">
        <v>43</v>
      </c>
      <c r="Q55" t="s">
        <v>40</v>
      </c>
      <c r="R55">
        <v>1104015</v>
      </c>
      <c r="S55" t="s">
        <v>44</v>
      </c>
      <c r="T55">
        <v>61</v>
      </c>
      <c r="U55" t="s">
        <v>54</v>
      </c>
      <c r="V55">
        <v>0</v>
      </c>
      <c r="W55">
        <v>0</v>
      </c>
      <c r="X55" t="s">
        <v>95</v>
      </c>
      <c r="Y55" t="s">
        <v>96</v>
      </c>
      <c r="Z55" t="s">
        <v>97</v>
      </c>
      <c r="AA55" t="s">
        <v>98</v>
      </c>
      <c r="AB55" t="s">
        <v>40</v>
      </c>
      <c r="AC55" t="s">
        <v>40</v>
      </c>
      <c r="AD55" t="s">
        <v>40</v>
      </c>
      <c r="AE55" t="s">
        <v>40</v>
      </c>
      <c r="AF55" t="s">
        <v>40</v>
      </c>
      <c r="AG55" t="s">
        <v>40</v>
      </c>
      <c r="AH55" t="s">
        <v>40</v>
      </c>
      <c r="AI55" t="s">
        <v>40</v>
      </c>
      <c r="AJ55" s="1">
        <v>36786</v>
      </c>
      <c r="AK55">
        <v>1600</v>
      </c>
      <c r="AL55" t="s">
        <v>40</v>
      </c>
      <c r="AM55" t="s">
        <v>40</v>
      </c>
      <c r="AN55" t="s">
        <v>40</v>
      </c>
      <c r="AO55" t="s">
        <v>40</v>
      </c>
      <c r="AQ55" s="2" t="s">
        <v>99</v>
      </c>
      <c r="AR55">
        <v>138</v>
      </c>
    </row>
    <row r="56" spans="1:44" ht="409.6" x14ac:dyDescent="0.3">
      <c r="A56">
        <v>5157576</v>
      </c>
      <c r="B56" t="s">
        <v>104</v>
      </c>
      <c r="C56" t="str">
        <f>_xlfn.XLOOKUP(B56,Match!$A$2:$A$111,Match!$B$2:$B$111)</f>
        <v>Citrus, FL</v>
      </c>
      <c r="D56" t="str">
        <f>_xlfn.XLOOKUP(C56,Validation!$B$2:$B$68,Validation!$A$2:$A$68)</f>
        <v>12017</v>
      </c>
      <c r="E56" t="s">
        <v>40</v>
      </c>
      <c r="F56" s="1">
        <v>36786</v>
      </c>
      <c r="G56">
        <v>500</v>
      </c>
      <c r="H56" t="s">
        <v>41</v>
      </c>
      <c r="I56" t="s">
        <v>40</v>
      </c>
      <c r="J56" t="s">
        <v>40</v>
      </c>
      <c r="K56">
        <v>0</v>
      </c>
      <c r="L56">
        <v>0</v>
      </c>
      <c r="M56">
        <v>25000</v>
      </c>
      <c r="N56">
        <v>0</v>
      </c>
      <c r="O56" t="s">
        <v>42</v>
      </c>
      <c r="P56" t="s">
        <v>43</v>
      </c>
      <c r="Q56" t="s">
        <v>40</v>
      </c>
      <c r="R56">
        <v>1104015</v>
      </c>
      <c r="S56" t="s">
        <v>44</v>
      </c>
      <c r="T56">
        <v>42</v>
      </c>
      <c r="U56" t="s">
        <v>54</v>
      </c>
      <c r="V56">
        <v>0</v>
      </c>
      <c r="W56">
        <v>0</v>
      </c>
      <c r="X56" t="s">
        <v>95</v>
      </c>
      <c r="Y56" t="s">
        <v>96</v>
      </c>
      <c r="Z56" t="s">
        <v>97</v>
      </c>
      <c r="AA56" t="s">
        <v>98</v>
      </c>
      <c r="AB56" t="s">
        <v>40</v>
      </c>
      <c r="AC56" t="s">
        <v>40</v>
      </c>
      <c r="AD56" t="s">
        <v>40</v>
      </c>
      <c r="AE56" t="s">
        <v>40</v>
      </c>
      <c r="AF56" t="s">
        <v>40</v>
      </c>
      <c r="AG56" t="s">
        <v>40</v>
      </c>
      <c r="AH56" t="s">
        <v>40</v>
      </c>
      <c r="AI56" t="s">
        <v>40</v>
      </c>
      <c r="AJ56" s="1">
        <v>36787</v>
      </c>
      <c r="AK56">
        <v>400</v>
      </c>
      <c r="AL56" t="s">
        <v>40</v>
      </c>
      <c r="AM56" t="s">
        <v>40</v>
      </c>
      <c r="AN56" t="s">
        <v>40</v>
      </c>
      <c r="AO56" t="s">
        <v>40</v>
      </c>
      <c r="AQ56" s="2" t="s">
        <v>99</v>
      </c>
      <c r="AR56">
        <v>139</v>
      </c>
    </row>
    <row r="57" spans="1:44" ht="409.6" x14ac:dyDescent="0.3">
      <c r="A57">
        <v>5157586</v>
      </c>
      <c r="B57" t="s">
        <v>60</v>
      </c>
      <c r="C57" t="str">
        <f>_xlfn.XLOOKUP(B57,Match!$A$2:$A$111,Match!$B$2:$B$111)</f>
        <v>Polk, FL</v>
      </c>
      <c r="D57" t="str">
        <f>_xlfn.XLOOKUP(C57,Validation!$B$2:$B$68,Validation!$A$2:$A$68)</f>
        <v>12105</v>
      </c>
      <c r="E57" t="s">
        <v>40</v>
      </c>
      <c r="F57" s="1">
        <v>36786</v>
      </c>
      <c r="G57">
        <v>500</v>
      </c>
      <c r="H57" t="s">
        <v>41</v>
      </c>
      <c r="I57" t="s">
        <v>40</v>
      </c>
      <c r="J57" t="s">
        <v>40</v>
      </c>
      <c r="K57">
        <v>0</v>
      </c>
      <c r="L57">
        <v>0</v>
      </c>
      <c r="M57">
        <v>25000</v>
      </c>
      <c r="N57">
        <v>0</v>
      </c>
      <c r="O57" t="s">
        <v>42</v>
      </c>
      <c r="P57" t="s">
        <v>43</v>
      </c>
      <c r="Q57" t="s">
        <v>40</v>
      </c>
      <c r="R57">
        <v>1104015</v>
      </c>
      <c r="S57" t="s">
        <v>44</v>
      </c>
      <c r="T57">
        <v>52</v>
      </c>
      <c r="U57" t="s">
        <v>54</v>
      </c>
      <c r="V57">
        <v>0</v>
      </c>
      <c r="W57">
        <v>0</v>
      </c>
      <c r="X57" t="s">
        <v>95</v>
      </c>
      <c r="Y57" t="s">
        <v>96</v>
      </c>
      <c r="Z57" t="s">
        <v>97</v>
      </c>
      <c r="AA57" t="s">
        <v>98</v>
      </c>
      <c r="AB57" t="s">
        <v>40</v>
      </c>
      <c r="AC57" t="s">
        <v>40</v>
      </c>
      <c r="AD57" t="s">
        <v>40</v>
      </c>
      <c r="AE57" t="s">
        <v>40</v>
      </c>
      <c r="AF57" t="s">
        <v>40</v>
      </c>
      <c r="AG57" t="s">
        <v>40</v>
      </c>
      <c r="AH57" t="s">
        <v>40</v>
      </c>
      <c r="AI57" t="s">
        <v>40</v>
      </c>
      <c r="AJ57" s="1">
        <v>36786</v>
      </c>
      <c r="AK57">
        <v>1600</v>
      </c>
      <c r="AL57" t="s">
        <v>40</v>
      </c>
      <c r="AM57" t="s">
        <v>40</v>
      </c>
      <c r="AN57" t="s">
        <v>40</v>
      </c>
      <c r="AO57" t="s">
        <v>40</v>
      </c>
      <c r="AQ57" s="2" t="s">
        <v>99</v>
      </c>
      <c r="AR57">
        <v>140</v>
      </c>
    </row>
    <row r="58" spans="1:44" ht="409.6" x14ac:dyDescent="0.3">
      <c r="A58">
        <v>5157585</v>
      </c>
      <c r="B58" t="s">
        <v>100</v>
      </c>
      <c r="C58" t="str">
        <f>_xlfn.XLOOKUP(B58,Match!$A$2:$A$111,Match!$B$2:$B$111)</f>
        <v>Pinellas, FL</v>
      </c>
      <c r="D58" t="str">
        <f>_xlfn.XLOOKUP(C58,Validation!$B$2:$B$68,Validation!$A$2:$A$68)</f>
        <v>12103</v>
      </c>
      <c r="E58" t="s">
        <v>40</v>
      </c>
      <c r="F58" s="1">
        <v>36786</v>
      </c>
      <c r="G58">
        <v>500</v>
      </c>
      <c r="H58" t="s">
        <v>41</v>
      </c>
      <c r="I58" t="s">
        <v>40</v>
      </c>
      <c r="J58" t="s">
        <v>40</v>
      </c>
      <c r="K58">
        <v>0</v>
      </c>
      <c r="L58">
        <v>0</v>
      </c>
      <c r="M58">
        <v>500000</v>
      </c>
      <c r="N58">
        <v>0</v>
      </c>
      <c r="O58" t="s">
        <v>42</v>
      </c>
      <c r="P58" t="s">
        <v>43</v>
      </c>
      <c r="Q58" t="s">
        <v>40</v>
      </c>
      <c r="R58">
        <v>1104015</v>
      </c>
      <c r="S58" t="s">
        <v>44</v>
      </c>
      <c r="T58">
        <v>50</v>
      </c>
      <c r="U58" t="s">
        <v>54</v>
      </c>
      <c r="V58">
        <v>0</v>
      </c>
      <c r="W58">
        <v>0</v>
      </c>
      <c r="X58" t="s">
        <v>95</v>
      </c>
      <c r="Y58" t="s">
        <v>96</v>
      </c>
      <c r="Z58" t="s">
        <v>97</v>
      </c>
      <c r="AA58" t="s">
        <v>98</v>
      </c>
      <c r="AB58" t="s">
        <v>40</v>
      </c>
      <c r="AC58" t="s">
        <v>40</v>
      </c>
      <c r="AD58" t="s">
        <v>40</v>
      </c>
      <c r="AE58" t="s">
        <v>40</v>
      </c>
      <c r="AF58" t="s">
        <v>40</v>
      </c>
      <c r="AG58" t="s">
        <v>40</v>
      </c>
      <c r="AH58" t="s">
        <v>40</v>
      </c>
      <c r="AI58" t="s">
        <v>40</v>
      </c>
      <c r="AJ58" s="1">
        <v>36786</v>
      </c>
      <c r="AK58">
        <v>2200</v>
      </c>
      <c r="AL58" t="s">
        <v>40</v>
      </c>
      <c r="AM58" t="s">
        <v>40</v>
      </c>
      <c r="AN58" t="s">
        <v>40</v>
      </c>
      <c r="AO58" t="s">
        <v>40</v>
      </c>
      <c r="AQ58" s="2" t="s">
        <v>99</v>
      </c>
      <c r="AR58">
        <v>141</v>
      </c>
    </row>
    <row r="59" spans="1:44" ht="409.6" x14ac:dyDescent="0.3">
      <c r="A59">
        <v>5157587</v>
      </c>
      <c r="B59" t="s">
        <v>62</v>
      </c>
      <c r="C59" t="str">
        <f>_xlfn.XLOOKUP(B59,Match!$A$2:$A$111,Match!$B$2:$B$111)</f>
        <v>Sarasota, FL</v>
      </c>
      <c r="D59" t="str">
        <f>_xlfn.XLOOKUP(C59,Validation!$B$2:$B$68,Validation!$A$2:$A$68)</f>
        <v>12115</v>
      </c>
      <c r="E59" t="s">
        <v>40</v>
      </c>
      <c r="F59" s="1">
        <v>36786</v>
      </c>
      <c r="G59">
        <v>500</v>
      </c>
      <c r="H59" t="s">
        <v>41</v>
      </c>
      <c r="I59" t="s">
        <v>40</v>
      </c>
      <c r="J59" t="s">
        <v>40</v>
      </c>
      <c r="K59">
        <v>0</v>
      </c>
      <c r="L59">
        <v>0</v>
      </c>
      <c r="M59">
        <v>1800000</v>
      </c>
      <c r="N59">
        <v>0</v>
      </c>
      <c r="O59" t="s">
        <v>42</v>
      </c>
      <c r="P59" t="s">
        <v>43</v>
      </c>
      <c r="Q59" t="s">
        <v>40</v>
      </c>
      <c r="R59">
        <v>1104015</v>
      </c>
      <c r="S59" t="s">
        <v>44</v>
      </c>
      <c r="T59">
        <v>60</v>
      </c>
      <c r="U59" t="s">
        <v>54</v>
      </c>
      <c r="V59">
        <v>0</v>
      </c>
      <c r="W59">
        <v>0</v>
      </c>
      <c r="X59" t="s">
        <v>95</v>
      </c>
      <c r="Y59" t="s">
        <v>96</v>
      </c>
      <c r="Z59" t="s">
        <v>97</v>
      </c>
      <c r="AA59" t="s">
        <v>98</v>
      </c>
      <c r="AB59" t="s">
        <v>40</v>
      </c>
      <c r="AC59" t="s">
        <v>40</v>
      </c>
      <c r="AD59" t="s">
        <v>40</v>
      </c>
      <c r="AE59" t="s">
        <v>40</v>
      </c>
      <c r="AF59" t="s">
        <v>40</v>
      </c>
      <c r="AG59" t="s">
        <v>40</v>
      </c>
      <c r="AH59" t="s">
        <v>40</v>
      </c>
      <c r="AI59" t="s">
        <v>40</v>
      </c>
      <c r="AJ59" s="1">
        <v>36786</v>
      </c>
      <c r="AK59">
        <v>1600</v>
      </c>
      <c r="AL59" t="s">
        <v>40</v>
      </c>
      <c r="AM59" t="s">
        <v>40</v>
      </c>
      <c r="AN59" t="s">
        <v>40</v>
      </c>
      <c r="AO59" t="s">
        <v>40</v>
      </c>
      <c r="AQ59" s="2" t="s">
        <v>99</v>
      </c>
      <c r="AR59">
        <v>142</v>
      </c>
    </row>
    <row r="60" spans="1:44" x14ac:dyDescent="0.3">
      <c r="A60">
        <v>5158515</v>
      </c>
      <c r="B60" t="s">
        <v>105</v>
      </c>
      <c r="C60" t="str">
        <f>_xlfn.XLOOKUP(B60,Match!$A$2:$A$111,Match!$B$2:$B$111)</f>
        <v>Dixie, FL</v>
      </c>
      <c r="D60" t="str">
        <f>_xlfn.XLOOKUP(C60,Validation!$B$2:$B$68,Validation!$A$2:$A$68)</f>
        <v>12029</v>
      </c>
      <c r="E60" t="s">
        <v>40</v>
      </c>
      <c r="F60" s="1">
        <v>36786</v>
      </c>
      <c r="G60">
        <v>800</v>
      </c>
      <c r="H60" t="s">
        <v>41</v>
      </c>
      <c r="I60" t="s">
        <v>40</v>
      </c>
      <c r="J60" t="s">
        <v>40</v>
      </c>
      <c r="K60">
        <v>0</v>
      </c>
      <c r="L60">
        <v>0</v>
      </c>
      <c r="M60">
        <v>0</v>
      </c>
      <c r="N60">
        <v>0</v>
      </c>
      <c r="O60" t="s">
        <v>42</v>
      </c>
      <c r="P60" t="s">
        <v>43</v>
      </c>
      <c r="Q60" t="s">
        <v>40</v>
      </c>
      <c r="R60">
        <v>1103646</v>
      </c>
      <c r="S60" t="s">
        <v>44</v>
      </c>
      <c r="T60">
        <v>34</v>
      </c>
      <c r="U60" t="s">
        <v>106</v>
      </c>
      <c r="V60">
        <v>0</v>
      </c>
      <c r="W60">
        <v>0</v>
      </c>
      <c r="X60" t="s">
        <v>67</v>
      </c>
      <c r="Y60" t="s">
        <v>40</v>
      </c>
      <c r="Z60" t="s">
        <v>40</v>
      </c>
      <c r="AA60" t="s">
        <v>40</v>
      </c>
      <c r="AB60" t="s">
        <v>40</v>
      </c>
      <c r="AC60" t="s">
        <v>40</v>
      </c>
      <c r="AD60" t="s">
        <v>40</v>
      </c>
      <c r="AE60" t="s">
        <v>40</v>
      </c>
      <c r="AF60" t="s">
        <v>40</v>
      </c>
      <c r="AG60" s="1">
        <v>36787</v>
      </c>
      <c r="AH60">
        <v>800</v>
      </c>
      <c r="AI60" t="s">
        <v>40</v>
      </c>
      <c r="AJ60" t="s">
        <v>40</v>
      </c>
      <c r="AK60" t="s">
        <v>40</v>
      </c>
      <c r="AL60" t="s">
        <v>40</v>
      </c>
      <c r="AO60">
        <v>143</v>
      </c>
    </row>
    <row r="61" spans="1:44" x14ac:dyDescent="0.3">
      <c r="A61">
        <v>5158516</v>
      </c>
      <c r="B61" t="s">
        <v>107</v>
      </c>
      <c r="C61" t="str">
        <f>_xlfn.XLOOKUP(B61,Match!$A$2:$A$111,Match!$B$2:$B$111)</f>
        <v>Franklin, FL</v>
      </c>
      <c r="D61" t="str">
        <f>_xlfn.XLOOKUP(C61,Validation!$B$2:$B$68,Validation!$A$2:$A$68)</f>
        <v>12037</v>
      </c>
      <c r="E61" t="s">
        <v>40</v>
      </c>
      <c r="F61" s="1">
        <v>36786</v>
      </c>
      <c r="G61">
        <v>800</v>
      </c>
      <c r="H61" t="s">
        <v>41</v>
      </c>
      <c r="I61" t="s">
        <v>40</v>
      </c>
      <c r="J61" t="s">
        <v>40</v>
      </c>
      <c r="K61">
        <v>0</v>
      </c>
      <c r="L61">
        <v>0</v>
      </c>
      <c r="M61">
        <v>0</v>
      </c>
      <c r="N61">
        <v>0</v>
      </c>
      <c r="O61" t="s">
        <v>42</v>
      </c>
      <c r="P61" t="s">
        <v>43</v>
      </c>
      <c r="Q61" t="s">
        <v>40</v>
      </c>
      <c r="R61">
        <v>1103646</v>
      </c>
      <c r="S61" t="s">
        <v>44</v>
      </c>
      <c r="T61">
        <v>15</v>
      </c>
      <c r="U61" t="s">
        <v>106</v>
      </c>
      <c r="V61">
        <v>0</v>
      </c>
      <c r="W61">
        <v>0</v>
      </c>
      <c r="X61" t="s">
        <v>67</v>
      </c>
      <c r="Y61" t="s">
        <v>40</v>
      </c>
      <c r="Z61" t="s">
        <v>40</v>
      </c>
      <c r="AA61" t="s">
        <v>40</v>
      </c>
      <c r="AB61" t="s">
        <v>40</v>
      </c>
      <c r="AC61" t="s">
        <v>40</v>
      </c>
      <c r="AD61" t="s">
        <v>40</v>
      </c>
      <c r="AE61" t="s">
        <v>40</v>
      </c>
      <c r="AF61" t="s">
        <v>40</v>
      </c>
      <c r="AG61" s="1">
        <v>36787</v>
      </c>
      <c r="AH61">
        <v>800</v>
      </c>
      <c r="AI61" t="s">
        <v>40</v>
      </c>
      <c r="AJ61" t="s">
        <v>40</v>
      </c>
      <c r="AK61" t="s">
        <v>40</v>
      </c>
      <c r="AL61" t="s">
        <v>40</v>
      </c>
      <c r="AM61" t="s">
        <v>108</v>
      </c>
      <c r="AO61">
        <v>144</v>
      </c>
    </row>
    <row r="62" spans="1:44" x14ac:dyDescent="0.3">
      <c r="A62">
        <v>5158517</v>
      </c>
      <c r="B62" t="s">
        <v>109</v>
      </c>
      <c r="C62" t="str">
        <f>_xlfn.XLOOKUP(B62,Match!$A$2:$A$111,Match!$B$2:$B$111)</f>
        <v>Gadsden, FL</v>
      </c>
      <c r="D62" t="str">
        <f>_xlfn.XLOOKUP(C62,Validation!$B$2:$B$68,Validation!$A$2:$A$68)</f>
        <v>12039</v>
      </c>
      <c r="E62" t="s">
        <v>40</v>
      </c>
      <c r="F62" s="1">
        <v>36786</v>
      </c>
      <c r="G62">
        <v>800</v>
      </c>
      <c r="H62" t="s">
        <v>41</v>
      </c>
      <c r="I62" t="s">
        <v>40</v>
      </c>
      <c r="J62" t="s">
        <v>40</v>
      </c>
      <c r="K62">
        <v>0</v>
      </c>
      <c r="L62">
        <v>0</v>
      </c>
      <c r="M62">
        <v>0</v>
      </c>
      <c r="N62">
        <v>0</v>
      </c>
      <c r="O62" t="s">
        <v>42</v>
      </c>
      <c r="P62" t="s">
        <v>43</v>
      </c>
      <c r="Q62" t="s">
        <v>40</v>
      </c>
      <c r="R62">
        <v>1103646</v>
      </c>
      <c r="S62" t="s">
        <v>44</v>
      </c>
      <c r="T62">
        <v>16</v>
      </c>
      <c r="U62" t="s">
        <v>106</v>
      </c>
      <c r="V62">
        <v>0</v>
      </c>
      <c r="W62">
        <v>0</v>
      </c>
      <c r="X62" t="s">
        <v>67</v>
      </c>
      <c r="Y62" t="s">
        <v>40</v>
      </c>
      <c r="Z62" t="s">
        <v>40</v>
      </c>
      <c r="AA62" t="s">
        <v>40</v>
      </c>
      <c r="AB62" t="s">
        <v>40</v>
      </c>
      <c r="AC62" t="s">
        <v>40</v>
      </c>
      <c r="AD62" t="s">
        <v>40</v>
      </c>
      <c r="AE62" t="s">
        <v>40</v>
      </c>
      <c r="AF62" t="s">
        <v>40</v>
      </c>
      <c r="AG62" s="1">
        <v>36787</v>
      </c>
      <c r="AH62">
        <v>800</v>
      </c>
      <c r="AI62" t="s">
        <v>40</v>
      </c>
      <c r="AJ62" t="s">
        <v>40</v>
      </c>
      <c r="AK62" t="s">
        <v>40</v>
      </c>
      <c r="AL62" t="s">
        <v>40</v>
      </c>
      <c r="AO62">
        <v>145</v>
      </c>
    </row>
    <row r="63" spans="1:44" x14ac:dyDescent="0.3">
      <c r="A63">
        <v>5158518</v>
      </c>
      <c r="B63" t="s">
        <v>110</v>
      </c>
      <c r="C63" t="str">
        <f>_xlfn.XLOOKUP(B63,Match!$A$2:$A$111,Match!$B$2:$B$111)</f>
        <v>Jefferson, FL</v>
      </c>
      <c r="D63" t="str">
        <f>_xlfn.XLOOKUP(C63,Validation!$B$2:$B$68,Validation!$A$2:$A$68)</f>
        <v>12065</v>
      </c>
      <c r="E63" t="s">
        <v>40</v>
      </c>
      <c r="F63" s="1">
        <v>36786</v>
      </c>
      <c r="G63">
        <v>800</v>
      </c>
      <c r="H63" t="s">
        <v>41</v>
      </c>
      <c r="I63" t="s">
        <v>40</v>
      </c>
      <c r="J63" t="s">
        <v>40</v>
      </c>
      <c r="K63">
        <v>0</v>
      </c>
      <c r="L63">
        <v>0</v>
      </c>
      <c r="M63">
        <v>0</v>
      </c>
      <c r="N63">
        <v>0</v>
      </c>
      <c r="O63" t="s">
        <v>42</v>
      </c>
      <c r="P63" t="s">
        <v>43</v>
      </c>
      <c r="Q63" t="s">
        <v>40</v>
      </c>
      <c r="R63">
        <v>1103646</v>
      </c>
      <c r="S63" t="s">
        <v>44</v>
      </c>
      <c r="T63">
        <v>18</v>
      </c>
      <c r="U63" t="s">
        <v>106</v>
      </c>
      <c r="V63">
        <v>0</v>
      </c>
      <c r="W63">
        <v>0</v>
      </c>
      <c r="X63" t="s">
        <v>67</v>
      </c>
      <c r="Y63" t="s">
        <v>40</v>
      </c>
      <c r="Z63" t="s">
        <v>40</v>
      </c>
      <c r="AA63" t="s">
        <v>40</v>
      </c>
      <c r="AB63" t="s">
        <v>40</v>
      </c>
      <c r="AC63" t="s">
        <v>40</v>
      </c>
      <c r="AD63" t="s">
        <v>40</v>
      </c>
      <c r="AE63" t="s">
        <v>40</v>
      </c>
      <c r="AF63" t="s">
        <v>40</v>
      </c>
      <c r="AG63" s="1">
        <v>36787</v>
      </c>
      <c r="AH63">
        <v>800</v>
      </c>
      <c r="AI63" t="s">
        <v>40</v>
      </c>
      <c r="AJ63" t="s">
        <v>40</v>
      </c>
      <c r="AK63" t="s">
        <v>40</v>
      </c>
      <c r="AL63" t="s">
        <v>40</v>
      </c>
      <c r="AO63">
        <v>146</v>
      </c>
    </row>
    <row r="64" spans="1:44" x14ac:dyDescent="0.3">
      <c r="A64">
        <v>5158519</v>
      </c>
      <c r="B64" t="s">
        <v>111</v>
      </c>
      <c r="C64" t="str">
        <f>_xlfn.XLOOKUP(B64,Match!$A$2:$A$111,Match!$B$2:$B$111)</f>
        <v>Lafayette, FL</v>
      </c>
      <c r="D64" t="str">
        <f>_xlfn.XLOOKUP(C64,Validation!$B$2:$B$68,Validation!$A$2:$A$68)</f>
        <v>12067</v>
      </c>
      <c r="E64" t="s">
        <v>40</v>
      </c>
      <c r="F64" s="1">
        <v>36786</v>
      </c>
      <c r="G64">
        <v>800</v>
      </c>
      <c r="H64" t="s">
        <v>41</v>
      </c>
      <c r="I64" t="s">
        <v>40</v>
      </c>
      <c r="J64" t="s">
        <v>40</v>
      </c>
      <c r="K64">
        <v>0</v>
      </c>
      <c r="L64">
        <v>0</v>
      </c>
      <c r="M64">
        <v>0</v>
      </c>
      <c r="N64">
        <v>0</v>
      </c>
      <c r="O64" t="s">
        <v>42</v>
      </c>
      <c r="P64" t="s">
        <v>43</v>
      </c>
      <c r="Q64" t="s">
        <v>40</v>
      </c>
      <c r="R64">
        <v>1103646</v>
      </c>
      <c r="S64" t="s">
        <v>44</v>
      </c>
      <c r="T64">
        <v>29</v>
      </c>
      <c r="U64" t="s">
        <v>106</v>
      </c>
      <c r="V64">
        <v>0</v>
      </c>
      <c r="W64">
        <v>0</v>
      </c>
      <c r="X64" t="s">
        <v>67</v>
      </c>
      <c r="Y64" t="s">
        <v>40</v>
      </c>
      <c r="Z64" t="s">
        <v>40</v>
      </c>
      <c r="AA64" t="s">
        <v>40</v>
      </c>
      <c r="AB64" t="s">
        <v>40</v>
      </c>
      <c r="AC64" t="s">
        <v>40</v>
      </c>
      <c r="AD64" t="s">
        <v>40</v>
      </c>
      <c r="AE64" t="s">
        <v>40</v>
      </c>
      <c r="AF64" t="s">
        <v>40</v>
      </c>
      <c r="AG64" s="1">
        <v>36787</v>
      </c>
      <c r="AH64">
        <v>800</v>
      </c>
      <c r="AI64" t="s">
        <v>40</v>
      </c>
      <c r="AJ64" t="s">
        <v>40</v>
      </c>
      <c r="AK64" t="s">
        <v>40</v>
      </c>
      <c r="AL64" t="s">
        <v>40</v>
      </c>
      <c r="AO64">
        <v>147</v>
      </c>
    </row>
    <row r="65" spans="1:41" x14ac:dyDescent="0.3">
      <c r="A65">
        <v>5158520</v>
      </c>
      <c r="B65" t="s">
        <v>112</v>
      </c>
      <c r="C65" t="str">
        <f>_xlfn.XLOOKUP(B65,Match!$A$2:$A$111,Match!$B$2:$B$111)</f>
        <v>Leon, FL</v>
      </c>
      <c r="D65" t="str">
        <f>_xlfn.XLOOKUP(C65,Validation!$B$2:$B$68,Validation!$A$2:$A$68)</f>
        <v>12073</v>
      </c>
      <c r="E65" t="s">
        <v>40</v>
      </c>
      <c r="F65" s="1">
        <v>36786</v>
      </c>
      <c r="G65">
        <v>800</v>
      </c>
      <c r="H65" t="s">
        <v>41</v>
      </c>
      <c r="I65" t="s">
        <v>40</v>
      </c>
      <c r="J65" t="s">
        <v>40</v>
      </c>
      <c r="K65">
        <v>0</v>
      </c>
      <c r="L65">
        <v>0</v>
      </c>
      <c r="M65">
        <v>0</v>
      </c>
      <c r="N65">
        <v>0</v>
      </c>
      <c r="O65" t="s">
        <v>42</v>
      </c>
      <c r="P65" t="s">
        <v>43</v>
      </c>
      <c r="Q65" t="s">
        <v>40</v>
      </c>
      <c r="R65">
        <v>1103646</v>
      </c>
      <c r="S65" t="s">
        <v>44</v>
      </c>
      <c r="T65">
        <v>17</v>
      </c>
      <c r="U65" t="s">
        <v>106</v>
      </c>
      <c r="V65">
        <v>0</v>
      </c>
      <c r="W65">
        <v>0</v>
      </c>
      <c r="X65" t="s">
        <v>67</v>
      </c>
      <c r="Y65" t="s">
        <v>40</v>
      </c>
      <c r="Z65" t="s">
        <v>40</v>
      </c>
      <c r="AA65" t="s">
        <v>40</v>
      </c>
      <c r="AB65" t="s">
        <v>40</v>
      </c>
      <c r="AC65" t="s">
        <v>40</v>
      </c>
      <c r="AD65" t="s">
        <v>40</v>
      </c>
      <c r="AE65" t="s">
        <v>40</v>
      </c>
      <c r="AF65" t="s">
        <v>40</v>
      </c>
      <c r="AG65" s="1">
        <v>36787</v>
      </c>
      <c r="AH65">
        <v>800</v>
      </c>
      <c r="AI65" t="s">
        <v>40</v>
      </c>
      <c r="AJ65" t="s">
        <v>40</v>
      </c>
      <c r="AK65" t="s">
        <v>40</v>
      </c>
      <c r="AL65" t="s">
        <v>40</v>
      </c>
      <c r="AO65">
        <v>148</v>
      </c>
    </row>
    <row r="66" spans="1:41" x14ac:dyDescent="0.3">
      <c r="A66">
        <v>5158521</v>
      </c>
      <c r="B66" t="s">
        <v>113</v>
      </c>
      <c r="C66" t="str">
        <f>_xlfn.XLOOKUP(B66,Match!$A$2:$A$111,Match!$B$2:$B$111)</f>
        <v>Liberty, FL</v>
      </c>
      <c r="D66" t="str">
        <f>_xlfn.XLOOKUP(C66,Validation!$B$2:$B$68,Validation!$A$2:$A$68)</f>
        <v>12077</v>
      </c>
      <c r="E66" t="s">
        <v>40</v>
      </c>
      <c r="F66" s="1">
        <v>36786</v>
      </c>
      <c r="G66">
        <v>800</v>
      </c>
      <c r="H66" t="s">
        <v>41</v>
      </c>
      <c r="I66" t="s">
        <v>40</v>
      </c>
      <c r="J66" t="s">
        <v>40</v>
      </c>
      <c r="K66">
        <v>0</v>
      </c>
      <c r="L66">
        <v>0</v>
      </c>
      <c r="M66">
        <v>0</v>
      </c>
      <c r="N66">
        <v>0</v>
      </c>
      <c r="O66" t="s">
        <v>42</v>
      </c>
      <c r="P66" t="s">
        <v>43</v>
      </c>
      <c r="Q66" t="s">
        <v>40</v>
      </c>
      <c r="R66">
        <v>1103646</v>
      </c>
      <c r="S66" t="s">
        <v>44</v>
      </c>
      <c r="T66">
        <v>26</v>
      </c>
      <c r="U66" t="s">
        <v>106</v>
      </c>
      <c r="V66">
        <v>0</v>
      </c>
      <c r="W66">
        <v>0</v>
      </c>
      <c r="X66" t="s">
        <v>67</v>
      </c>
      <c r="Y66" t="s">
        <v>40</v>
      </c>
      <c r="Z66" t="s">
        <v>40</v>
      </c>
      <c r="AA66" t="s">
        <v>40</v>
      </c>
      <c r="AB66" t="s">
        <v>40</v>
      </c>
      <c r="AC66" t="s">
        <v>40</v>
      </c>
      <c r="AD66" t="s">
        <v>40</v>
      </c>
      <c r="AE66" t="s">
        <v>40</v>
      </c>
      <c r="AF66" t="s">
        <v>40</v>
      </c>
      <c r="AG66" s="1">
        <v>36787</v>
      </c>
      <c r="AH66">
        <v>800</v>
      </c>
      <c r="AI66" t="s">
        <v>40</v>
      </c>
      <c r="AJ66" t="s">
        <v>40</v>
      </c>
      <c r="AK66" t="s">
        <v>40</v>
      </c>
      <c r="AL66" t="s">
        <v>40</v>
      </c>
      <c r="AO66">
        <v>149</v>
      </c>
    </row>
    <row r="67" spans="1:41" x14ac:dyDescent="0.3">
      <c r="A67">
        <v>5158868</v>
      </c>
      <c r="B67" t="s">
        <v>114</v>
      </c>
      <c r="C67" t="str">
        <f>_xlfn.XLOOKUP(B67,Match!$A$2:$A$111,Match!$B$2:$B$111)</f>
        <v>Madison, FL</v>
      </c>
      <c r="D67" t="str">
        <f>_xlfn.XLOOKUP(C67,Validation!$B$2:$B$68,Validation!$A$2:$A$68)</f>
        <v>12079</v>
      </c>
      <c r="E67" t="s">
        <v>40</v>
      </c>
      <c r="F67" s="1">
        <v>36786</v>
      </c>
      <c r="G67">
        <v>800</v>
      </c>
      <c r="H67" t="s">
        <v>41</v>
      </c>
      <c r="I67" t="s">
        <v>40</v>
      </c>
      <c r="J67" t="s">
        <v>40</v>
      </c>
      <c r="K67">
        <v>0</v>
      </c>
      <c r="L67">
        <v>0</v>
      </c>
      <c r="M67">
        <v>0</v>
      </c>
      <c r="N67">
        <v>0</v>
      </c>
      <c r="O67" t="s">
        <v>42</v>
      </c>
      <c r="P67" t="s">
        <v>43</v>
      </c>
      <c r="Q67" t="s">
        <v>40</v>
      </c>
      <c r="R67">
        <v>1103646</v>
      </c>
      <c r="S67" t="s">
        <v>44</v>
      </c>
      <c r="T67">
        <v>19</v>
      </c>
      <c r="U67" t="s">
        <v>106</v>
      </c>
      <c r="V67">
        <v>0</v>
      </c>
      <c r="W67">
        <v>0</v>
      </c>
      <c r="X67" t="s">
        <v>67</v>
      </c>
      <c r="Y67" t="s">
        <v>40</v>
      </c>
      <c r="Z67" t="s">
        <v>40</v>
      </c>
      <c r="AA67" t="s">
        <v>40</v>
      </c>
      <c r="AB67" t="s">
        <v>40</v>
      </c>
      <c r="AC67" t="s">
        <v>40</v>
      </c>
      <c r="AD67" t="s">
        <v>40</v>
      </c>
      <c r="AE67" t="s">
        <v>40</v>
      </c>
      <c r="AF67" t="s">
        <v>40</v>
      </c>
      <c r="AG67" s="1">
        <v>36787</v>
      </c>
      <c r="AH67">
        <v>800</v>
      </c>
      <c r="AI67" t="s">
        <v>40</v>
      </c>
      <c r="AJ67" t="s">
        <v>40</v>
      </c>
      <c r="AK67" t="s">
        <v>40</v>
      </c>
      <c r="AL67" t="s">
        <v>40</v>
      </c>
      <c r="AO67">
        <v>150</v>
      </c>
    </row>
    <row r="68" spans="1:41" x14ac:dyDescent="0.3">
      <c r="A68">
        <v>5158869</v>
      </c>
      <c r="B68" t="s">
        <v>115</v>
      </c>
      <c r="C68" t="str">
        <f>_xlfn.XLOOKUP(B68,Match!$A$2:$A$111,Match!$B$2:$B$111)</f>
        <v>Taylor, FL</v>
      </c>
      <c r="D68" t="str">
        <f>_xlfn.XLOOKUP(C68,Validation!$B$2:$B$68,Validation!$A$2:$A$68)</f>
        <v>12123</v>
      </c>
      <c r="E68" t="s">
        <v>40</v>
      </c>
      <c r="F68" s="1">
        <v>36786</v>
      </c>
      <c r="G68">
        <v>800</v>
      </c>
      <c r="H68" t="s">
        <v>41</v>
      </c>
      <c r="I68" t="s">
        <v>40</v>
      </c>
      <c r="J68" t="s">
        <v>40</v>
      </c>
      <c r="K68">
        <v>0</v>
      </c>
      <c r="L68">
        <v>0</v>
      </c>
      <c r="M68">
        <v>0</v>
      </c>
      <c r="N68">
        <v>0</v>
      </c>
      <c r="O68" t="s">
        <v>42</v>
      </c>
      <c r="P68" t="s">
        <v>43</v>
      </c>
      <c r="Q68" t="s">
        <v>40</v>
      </c>
      <c r="R68">
        <v>1103646</v>
      </c>
      <c r="S68" t="s">
        <v>44</v>
      </c>
      <c r="T68">
        <v>28</v>
      </c>
      <c r="U68" t="s">
        <v>106</v>
      </c>
      <c r="V68">
        <v>0</v>
      </c>
      <c r="W68">
        <v>0</v>
      </c>
      <c r="X68" t="s">
        <v>67</v>
      </c>
      <c r="Y68" t="s">
        <v>40</v>
      </c>
      <c r="Z68" t="s">
        <v>40</v>
      </c>
      <c r="AA68" t="s">
        <v>40</v>
      </c>
      <c r="AB68" t="s">
        <v>40</v>
      </c>
      <c r="AC68" t="s">
        <v>40</v>
      </c>
      <c r="AD68" t="s">
        <v>40</v>
      </c>
      <c r="AE68" t="s">
        <v>40</v>
      </c>
      <c r="AF68" t="s">
        <v>40</v>
      </c>
      <c r="AG68" s="1">
        <v>36787</v>
      </c>
      <c r="AH68">
        <v>800</v>
      </c>
      <c r="AI68" t="s">
        <v>40</v>
      </c>
      <c r="AJ68" t="s">
        <v>40</v>
      </c>
      <c r="AK68" t="s">
        <v>40</v>
      </c>
      <c r="AL68" t="s">
        <v>40</v>
      </c>
      <c r="AO68">
        <v>151</v>
      </c>
    </row>
    <row r="69" spans="1:41" x14ac:dyDescent="0.3">
      <c r="A69">
        <v>5158870</v>
      </c>
      <c r="B69" t="s">
        <v>116</v>
      </c>
      <c r="C69" t="str">
        <f>_xlfn.XLOOKUP(B69,Match!$A$2:$A$111,Match!$B$2:$B$111)</f>
        <v>Wakulla, FL</v>
      </c>
      <c r="D69" t="str">
        <f>_xlfn.XLOOKUP(C69,Validation!$B$2:$B$68,Validation!$A$2:$A$68)</f>
        <v>12129</v>
      </c>
      <c r="E69" t="s">
        <v>40</v>
      </c>
      <c r="F69" s="1">
        <v>36786</v>
      </c>
      <c r="G69">
        <v>800</v>
      </c>
      <c r="H69" t="s">
        <v>41</v>
      </c>
      <c r="I69" t="s">
        <v>40</v>
      </c>
      <c r="J69" t="s">
        <v>40</v>
      </c>
      <c r="K69">
        <v>0</v>
      </c>
      <c r="L69">
        <v>0</v>
      </c>
      <c r="M69">
        <v>0</v>
      </c>
      <c r="N69">
        <v>0</v>
      </c>
      <c r="O69" t="s">
        <v>42</v>
      </c>
      <c r="P69" t="s">
        <v>43</v>
      </c>
      <c r="Q69" t="s">
        <v>40</v>
      </c>
      <c r="R69">
        <v>1103646</v>
      </c>
      <c r="S69" t="s">
        <v>44</v>
      </c>
      <c r="T69">
        <v>27</v>
      </c>
      <c r="U69" t="s">
        <v>106</v>
      </c>
      <c r="V69">
        <v>0</v>
      </c>
      <c r="W69">
        <v>0</v>
      </c>
      <c r="X69" t="s">
        <v>67</v>
      </c>
      <c r="Y69" t="s">
        <v>40</v>
      </c>
      <c r="Z69" t="s">
        <v>40</v>
      </c>
      <c r="AA69" t="s">
        <v>40</v>
      </c>
      <c r="AB69" t="s">
        <v>40</v>
      </c>
      <c r="AC69" t="s">
        <v>40</v>
      </c>
      <c r="AD69" t="s">
        <v>40</v>
      </c>
      <c r="AE69" t="s">
        <v>40</v>
      </c>
      <c r="AF69" t="s">
        <v>40</v>
      </c>
      <c r="AG69" s="1">
        <v>36787</v>
      </c>
      <c r="AH69">
        <v>800</v>
      </c>
      <c r="AI69" t="s">
        <v>40</v>
      </c>
      <c r="AJ69" t="s">
        <v>40</v>
      </c>
      <c r="AK69" t="s">
        <v>40</v>
      </c>
      <c r="AL69" t="s">
        <v>40</v>
      </c>
      <c r="AO69">
        <v>152</v>
      </c>
    </row>
    <row r="70" spans="1:41" ht="409.6" x14ac:dyDescent="0.3">
      <c r="A70">
        <v>5272138</v>
      </c>
      <c r="B70" t="s">
        <v>88</v>
      </c>
      <c r="C70" t="str">
        <f>_xlfn.XLOOKUP(B70,Match!$A$2:$A$111,Match!$B$2:$B$111)</f>
        <v>Monroe, FL</v>
      </c>
      <c r="D70" t="str">
        <f>_xlfn.XLOOKUP(C70,Validation!$B$2:$B$68,Validation!$A$2:$A$68)</f>
        <v>12087</v>
      </c>
      <c r="E70" t="s">
        <v>40</v>
      </c>
      <c r="F70" s="1">
        <v>37199</v>
      </c>
      <c r="G70">
        <v>1900</v>
      </c>
      <c r="H70" t="s">
        <v>41</v>
      </c>
      <c r="I70" t="s">
        <v>40</v>
      </c>
      <c r="J70" t="s">
        <v>40</v>
      </c>
      <c r="K70">
        <v>0</v>
      </c>
      <c r="L70">
        <v>0</v>
      </c>
      <c r="M70">
        <v>0</v>
      </c>
      <c r="N70">
        <v>0</v>
      </c>
      <c r="O70" t="s">
        <v>42</v>
      </c>
      <c r="P70" t="s">
        <v>43</v>
      </c>
      <c r="Q70" t="s">
        <v>40</v>
      </c>
      <c r="R70">
        <v>1124515</v>
      </c>
      <c r="S70" t="s">
        <v>44</v>
      </c>
      <c r="T70">
        <v>76</v>
      </c>
      <c r="U70" t="s">
        <v>85</v>
      </c>
      <c r="V70">
        <v>0</v>
      </c>
      <c r="W70">
        <v>0</v>
      </c>
      <c r="X70" t="s">
        <v>117</v>
      </c>
      <c r="Y70" t="s">
        <v>40</v>
      </c>
      <c r="Z70" t="s">
        <v>40</v>
      </c>
      <c r="AA70" t="s">
        <v>40</v>
      </c>
      <c r="AB70" t="s">
        <v>40</v>
      </c>
      <c r="AC70" t="s">
        <v>40</v>
      </c>
      <c r="AD70" t="s">
        <v>40</v>
      </c>
      <c r="AE70" t="s">
        <v>40</v>
      </c>
      <c r="AF70" t="s">
        <v>40</v>
      </c>
      <c r="AG70" s="1">
        <v>37199</v>
      </c>
      <c r="AH70">
        <v>1901</v>
      </c>
      <c r="AI70" t="s">
        <v>40</v>
      </c>
      <c r="AJ70" t="s">
        <v>40</v>
      </c>
      <c r="AK70" t="s">
        <v>40</v>
      </c>
      <c r="AL70" t="s">
        <v>40</v>
      </c>
      <c r="AN70" s="2" t="s">
        <v>118</v>
      </c>
      <c r="AO70">
        <v>153</v>
      </c>
    </row>
    <row r="71" spans="1:41" ht="409.6" x14ac:dyDescent="0.3">
      <c r="A71">
        <v>5272137</v>
      </c>
      <c r="B71" t="s">
        <v>84</v>
      </c>
      <c r="C71" t="str">
        <f>_xlfn.XLOOKUP(B71,Match!$A$2:$A$111,Match!$B$2:$B$111)</f>
        <v>Monroe, FL</v>
      </c>
      <c r="D71" t="str">
        <f>_xlfn.XLOOKUP(C71,Validation!$B$2:$B$68,Validation!$A$2:$A$68)</f>
        <v>12087</v>
      </c>
      <c r="E71" t="s">
        <v>40</v>
      </c>
      <c r="F71" s="1">
        <v>37200</v>
      </c>
      <c r="G71">
        <v>0</v>
      </c>
      <c r="H71" t="s">
        <v>41</v>
      </c>
      <c r="I71" t="s">
        <v>40</v>
      </c>
      <c r="J71" t="s">
        <v>40</v>
      </c>
      <c r="K71">
        <v>0</v>
      </c>
      <c r="L71">
        <v>0</v>
      </c>
      <c r="M71">
        <v>0</v>
      </c>
      <c r="N71">
        <v>0</v>
      </c>
      <c r="O71" t="s">
        <v>42</v>
      </c>
      <c r="P71" t="s">
        <v>43</v>
      </c>
      <c r="Q71" t="s">
        <v>40</v>
      </c>
      <c r="R71">
        <v>1124515</v>
      </c>
      <c r="S71" t="s">
        <v>44</v>
      </c>
      <c r="T71">
        <v>78</v>
      </c>
      <c r="U71" t="s">
        <v>85</v>
      </c>
      <c r="V71">
        <v>0</v>
      </c>
      <c r="W71">
        <v>0</v>
      </c>
      <c r="X71" t="s">
        <v>117</v>
      </c>
      <c r="Y71" t="s">
        <v>40</v>
      </c>
      <c r="Z71" t="s">
        <v>40</v>
      </c>
      <c r="AA71" t="s">
        <v>40</v>
      </c>
      <c r="AB71" t="s">
        <v>40</v>
      </c>
      <c r="AC71" t="s">
        <v>40</v>
      </c>
      <c r="AD71" t="s">
        <v>40</v>
      </c>
      <c r="AE71" t="s">
        <v>40</v>
      </c>
      <c r="AF71" t="s">
        <v>40</v>
      </c>
      <c r="AG71" s="1">
        <v>37200</v>
      </c>
      <c r="AH71">
        <v>1</v>
      </c>
      <c r="AI71" t="s">
        <v>40</v>
      </c>
      <c r="AJ71" t="s">
        <v>40</v>
      </c>
      <c r="AK71" t="s">
        <v>40</v>
      </c>
      <c r="AL71" t="s">
        <v>40</v>
      </c>
      <c r="AN71" s="2" t="s">
        <v>118</v>
      </c>
      <c r="AO71">
        <v>154</v>
      </c>
    </row>
    <row r="72" spans="1:41" x14ac:dyDescent="0.3">
      <c r="A72">
        <v>5272141</v>
      </c>
      <c r="B72" t="s">
        <v>48</v>
      </c>
      <c r="C72" t="str">
        <f>_xlfn.XLOOKUP(B72,Match!$A$2:$A$111,Match!$B$2:$B$111)</f>
        <v>Miami-Dade, FL</v>
      </c>
      <c r="D72" t="str">
        <f>_xlfn.XLOOKUP(C72,Validation!$B$2:$B$68,Validation!$A$2:$A$68)</f>
        <v>12086</v>
      </c>
      <c r="E72" t="s">
        <v>40</v>
      </c>
      <c r="F72" s="1">
        <v>37200</v>
      </c>
      <c r="G72">
        <v>200</v>
      </c>
      <c r="H72" t="s">
        <v>41</v>
      </c>
      <c r="I72" t="s">
        <v>40</v>
      </c>
      <c r="J72" t="s">
        <v>40</v>
      </c>
      <c r="K72">
        <v>0</v>
      </c>
      <c r="L72">
        <v>0</v>
      </c>
      <c r="M72">
        <v>10000</v>
      </c>
      <c r="N72">
        <v>0</v>
      </c>
      <c r="O72" t="s">
        <v>42</v>
      </c>
      <c r="P72" t="s">
        <v>43</v>
      </c>
      <c r="Q72" t="s">
        <v>40</v>
      </c>
      <c r="R72">
        <v>1124518</v>
      </c>
      <c r="S72" t="s">
        <v>44</v>
      </c>
      <c r="T72">
        <v>74</v>
      </c>
      <c r="U72" t="s">
        <v>45</v>
      </c>
      <c r="V72">
        <v>0</v>
      </c>
      <c r="W72">
        <v>0</v>
      </c>
      <c r="X72" t="s">
        <v>46</v>
      </c>
      <c r="Y72" t="s">
        <v>40</v>
      </c>
      <c r="Z72" t="s">
        <v>40</v>
      </c>
      <c r="AA72" t="s">
        <v>40</v>
      </c>
      <c r="AB72" t="s">
        <v>40</v>
      </c>
      <c r="AC72" t="s">
        <v>40</v>
      </c>
      <c r="AD72" t="s">
        <v>40</v>
      </c>
      <c r="AE72" t="s">
        <v>40</v>
      </c>
      <c r="AF72" t="s">
        <v>40</v>
      </c>
      <c r="AG72" s="1">
        <v>37200</v>
      </c>
      <c r="AH72">
        <v>1200</v>
      </c>
      <c r="AI72" t="s">
        <v>40</v>
      </c>
      <c r="AJ72" t="s">
        <v>40</v>
      </c>
      <c r="AK72" t="s">
        <v>40</v>
      </c>
      <c r="AL72" t="s">
        <v>40</v>
      </c>
      <c r="AN72" t="s">
        <v>119</v>
      </c>
      <c r="AO72">
        <v>155</v>
      </c>
    </row>
    <row r="73" spans="1:41" ht="409.6" x14ac:dyDescent="0.3">
      <c r="A73">
        <v>5272136</v>
      </c>
      <c r="B73" t="s">
        <v>87</v>
      </c>
      <c r="C73" t="str">
        <f>_xlfn.XLOOKUP(B73,Match!$A$2:$A$111,Match!$B$2:$B$111)</f>
        <v>Monroe, FL</v>
      </c>
      <c r="D73" t="str">
        <f>_xlfn.XLOOKUP(C73,Validation!$B$2:$B$68,Validation!$A$2:$A$68)</f>
        <v>12087</v>
      </c>
      <c r="E73" t="s">
        <v>40</v>
      </c>
      <c r="F73" s="1">
        <v>37200</v>
      </c>
      <c r="G73">
        <v>300</v>
      </c>
      <c r="H73" t="s">
        <v>41</v>
      </c>
      <c r="I73" t="s">
        <v>40</v>
      </c>
      <c r="J73" t="s">
        <v>40</v>
      </c>
      <c r="K73">
        <v>0</v>
      </c>
      <c r="L73">
        <v>0</v>
      </c>
      <c r="M73">
        <v>0</v>
      </c>
      <c r="N73">
        <v>0</v>
      </c>
      <c r="O73" t="s">
        <v>42</v>
      </c>
      <c r="P73" t="s">
        <v>43</v>
      </c>
      <c r="Q73" t="s">
        <v>40</v>
      </c>
      <c r="R73">
        <v>1124515</v>
      </c>
      <c r="S73" t="s">
        <v>44</v>
      </c>
      <c r="T73">
        <v>77</v>
      </c>
      <c r="U73" t="s">
        <v>85</v>
      </c>
      <c r="V73">
        <v>0</v>
      </c>
      <c r="W73">
        <v>0</v>
      </c>
      <c r="X73" t="s">
        <v>117</v>
      </c>
      <c r="Y73" t="s">
        <v>40</v>
      </c>
      <c r="Z73" t="s">
        <v>40</v>
      </c>
      <c r="AA73" t="s">
        <v>40</v>
      </c>
      <c r="AB73" t="s">
        <v>40</v>
      </c>
      <c r="AC73" t="s">
        <v>40</v>
      </c>
      <c r="AD73" t="s">
        <v>40</v>
      </c>
      <c r="AE73" t="s">
        <v>40</v>
      </c>
      <c r="AF73" t="s">
        <v>40</v>
      </c>
      <c r="AG73" s="1">
        <v>37200</v>
      </c>
      <c r="AH73">
        <v>301</v>
      </c>
      <c r="AI73" t="s">
        <v>40</v>
      </c>
      <c r="AJ73" t="s">
        <v>40</v>
      </c>
      <c r="AK73" t="s">
        <v>40</v>
      </c>
      <c r="AL73" t="s">
        <v>40</v>
      </c>
      <c r="AN73" s="2" t="s">
        <v>118</v>
      </c>
      <c r="AO73">
        <v>156</v>
      </c>
    </row>
    <row r="74" spans="1:41" x14ac:dyDescent="0.3">
      <c r="A74">
        <v>5272142</v>
      </c>
      <c r="B74" t="s">
        <v>52</v>
      </c>
      <c r="C74" t="str">
        <f>_xlfn.XLOOKUP(B74,Match!$A$2:$A$111,Match!$B$2:$B$111)</f>
        <v>Broward, FL</v>
      </c>
      <c r="D74" t="str">
        <f>_xlfn.XLOOKUP(C74,Validation!$B$2:$B$68,Validation!$A$2:$A$68)</f>
        <v>12011</v>
      </c>
      <c r="E74" t="s">
        <v>40</v>
      </c>
      <c r="F74" s="1">
        <v>37200</v>
      </c>
      <c r="G74">
        <v>300</v>
      </c>
      <c r="H74" t="s">
        <v>41</v>
      </c>
      <c r="I74" t="s">
        <v>40</v>
      </c>
      <c r="J74" t="s">
        <v>40</v>
      </c>
      <c r="K74">
        <v>0</v>
      </c>
      <c r="L74">
        <v>0</v>
      </c>
      <c r="M74">
        <v>30000</v>
      </c>
      <c r="N74">
        <v>0</v>
      </c>
      <c r="O74" t="s">
        <v>42</v>
      </c>
      <c r="P74" t="s">
        <v>43</v>
      </c>
      <c r="Q74" t="s">
        <v>40</v>
      </c>
      <c r="R74">
        <v>1124518</v>
      </c>
      <c r="S74" t="s">
        <v>44</v>
      </c>
      <c r="T74">
        <v>72</v>
      </c>
      <c r="U74" t="s">
        <v>45</v>
      </c>
      <c r="V74">
        <v>0</v>
      </c>
      <c r="W74">
        <v>0</v>
      </c>
      <c r="X74" t="s">
        <v>46</v>
      </c>
      <c r="Y74" t="s">
        <v>40</v>
      </c>
      <c r="Z74" t="s">
        <v>40</v>
      </c>
      <c r="AA74" t="s">
        <v>40</v>
      </c>
      <c r="AB74" t="s">
        <v>40</v>
      </c>
      <c r="AC74" t="s">
        <v>40</v>
      </c>
      <c r="AD74" t="s">
        <v>40</v>
      </c>
      <c r="AE74" t="s">
        <v>40</v>
      </c>
      <c r="AF74" t="s">
        <v>40</v>
      </c>
      <c r="AG74" s="1">
        <v>37200</v>
      </c>
      <c r="AH74">
        <v>1200</v>
      </c>
      <c r="AI74" t="s">
        <v>40</v>
      </c>
      <c r="AJ74" t="s">
        <v>40</v>
      </c>
      <c r="AK74" t="s">
        <v>40</v>
      </c>
      <c r="AL74" t="s">
        <v>40</v>
      </c>
      <c r="AN74" t="s">
        <v>119</v>
      </c>
      <c r="AO74">
        <v>157</v>
      </c>
    </row>
    <row r="75" spans="1:41" x14ac:dyDescent="0.3">
      <c r="A75">
        <v>5272143</v>
      </c>
      <c r="B75" t="s">
        <v>39</v>
      </c>
      <c r="C75" t="str">
        <f>_xlfn.XLOOKUP(B75,Match!$A$2:$A$111,Match!$B$2:$B$111)</f>
        <v>Palm Beach, FL</v>
      </c>
      <c r="D75" t="str">
        <f>_xlfn.XLOOKUP(C75,Validation!$B$2:$B$68,Validation!$A$2:$A$68)</f>
        <v>12099</v>
      </c>
      <c r="E75" t="s">
        <v>40</v>
      </c>
      <c r="F75" s="1">
        <v>37200</v>
      </c>
      <c r="G75">
        <v>400</v>
      </c>
      <c r="H75" t="s">
        <v>41</v>
      </c>
      <c r="I75" t="s">
        <v>40</v>
      </c>
      <c r="J75" t="s">
        <v>40</v>
      </c>
      <c r="K75">
        <v>0</v>
      </c>
      <c r="L75">
        <v>0</v>
      </c>
      <c r="M75">
        <v>10000</v>
      </c>
      <c r="N75">
        <v>0</v>
      </c>
      <c r="O75" t="s">
        <v>42</v>
      </c>
      <c r="P75" t="s">
        <v>43</v>
      </c>
      <c r="Q75" t="s">
        <v>40</v>
      </c>
      <c r="R75">
        <v>1124518</v>
      </c>
      <c r="S75" t="s">
        <v>44</v>
      </c>
      <c r="T75">
        <v>68</v>
      </c>
      <c r="U75" t="s">
        <v>45</v>
      </c>
      <c r="V75">
        <v>0</v>
      </c>
      <c r="W75">
        <v>0</v>
      </c>
      <c r="X75" t="s">
        <v>46</v>
      </c>
      <c r="Y75" t="s">
        <v>40</v>
      </c>
      <c r="Z75" t="s">
        <v>40</v>
      </c>
      <c r="AA75" t="s">
        <v>40</v>
      </c>
      <c r="AB75" t="s">
        <v>40</v>
      </c>
      <c r="AC75" t="s">
        <v>40</v>
      </c>
      <c r="AD75" t="s">
        <v>40</v>
      </c>
      <c r="AE75" t="s">
        <v>40</v>
      </c>
      <c r="AF75" t="s">
        <v>40</v>
      </c>
      <c r="AG75" s="1">
        <v>37200</v>
      </c>
      <c r="AH75">
        <v>1200</v>
      </c>
      <c r="AI75" t="s">
        <v>40</v>
      </c>
      <c r="AJ75" t="s">
        <v>40</v>
      </c>
      <c r="AK75" t="s">
        <v>40</v>
      </c>
      <c r="AL75" t="s">
        <v>40</v>
      </c>
      <c r="AN75" t="s">
        <v>119</v>
      </c>
      <c r="AO75">
        <v>158</v>
      </c>
    </row>
    <row r="76" spans="1:41" ht="409.6" x14ac:dyDescent="0.3">
      <c r="A76">
        <v>5421070</v>
      </c>
      <c r="B76" t="s">
        <v>84</v>
      </c>
      <c r="C76" t="str">
        <f>_xlfn.XLOOKUP(B76,Match!$A$2:$A$111,Match!$B$2:$B$111)</f>
        <v>Monroe, FL</v>
      </c>
      <c r="D76" t="str">
        <f>_xlfn.XLOOKUP(C76,Validation!$B$2:$B$68,Validation!$A$2:$A$68)</f>
        <v>12087</v>
      </c>
      <c r="E76" t="s">
        <v>40</v>
      </c>
      <c r="F76" s="1">
        <v>38210</v>
      </c>
      <c r="G76">
        <v>400</v>
      </c>
      <c r="H76" t="s">
        <v>41</v>
      </c>
      <c r="I76" t="s">
        <v>40</v>
      </c>
      <c r="J76" t="s">
        <v>40</v>
      </c>
      <c r="K76">
        <v>0</v>
      </c>
      <c r="L76">
        <v>0</v>
      </c>
      <c r="M76">
        <v>150000</v>
      </c>
      <c r="N76">
        <v>0</v>
      </c>
      <c r="O76" t="s">
        <v>42</v>
      </c>
      <c r="P76" t="s">
        <v>43</v>
      </c>
      <c r="Q76" t="s">
        <v>40</v>
      </c>
      <c r="R76">
        <v>1179334</v>
      </c>
      <c r="S76" t="s">
        <v>44</v>
      </c>
      <c r="T76">
        <v>78</v>
      </c>
      <c r="U76" t="s">
        <v>85</v>
      </c>
      <c r="V76">
        <v>0</v>
      </c>
      <c r="W76">
        <v>0</v>
      </c>
      <c r="X76" t="s">
        <v>86</v>
      </c>
      <c r="Y76" t="s">
        <v>40</v>
      </c>
      <c r="Z76" t="s">
        <v>40</v>
      </c>
      <c r="AA76" t="s">
        <v>40</v>
      </c>
      <c r="AB76" t="s">
        <v>40</v>
      </c>
      <c r="AC76" t="s">
        <v>40</v>
      </c>
      <c r="AD76" t="s">
        <v>40</v>
      </c>
      <c r="AE76" t="s">
        <v>40</v>
      </c>
      <c r="AF76" t="s">
        <v>40</v>
      </c>
      <c r="AG76" s="1">
        <v>38212</v>
      </c>
      <c r="AH76">
        <v>1600</v>
      </c>
      <c r="AI76" t="s">
        <v>40</v>
      </c>
      <c r="AJ76" t="s">
        <v>40</v>
      </c>
      <c r="AK76" t="s">
        <v>40</v>
      </c>
      <c r="AL76" t="s">
        <v>40</v>
      </c>
      <c r="AN76" s="2" t="s">
        <v>120</v>
      </c>
      <c r="AO76">
        <v>159</v>
      </c>
    </row>
    <row r="77" spans="1:41" ht="409.6" x14ac:dyDescent="0.3">
      <c r="A77">
        <v>5421072</v>
      </c>
      <c r="B77" t="s">
        <v>88</v>
      </c>
      <c r="C77" t="str">
        <f>_xlfn.XLOOKUP(B77,Match!$A$2:$A$111,Match!$B$2:$B$111)</f>
        <v>Monroe, FL</v>
      </c>
      <c r="D77" t="str">
        <f>_xlfn.XLOOKUP(C77,Validation!$B$2:$B$68,Validation!$A$2:$A$68)</f>
        <v>12087</v>
      </c>
      <c r="E77" t="s">
        <v>40</v>
      </c>
      <c r="F77" s="1">
        <v>38210</v>
      </c>
      <c r="G77">
        <v>400</v>
      </c>
      <c r="H77" t="s">
        <v>41</v>
      </c>
      <c r="I77" t="s">
        <v>40</v>
      </c>
      <c r="J77" t="s">
        <v>40</v>
      </c>
      <c r="K77">
        <v>0</v>
      </c>
      <c r="L77">
        <v>0</v>
      </c>
      <c r="M77">
        <v>5000</v>
      </c>
      <c r="N77">
        <v>0</v>
      </c>
      <c r="O77" t="s">
        <v>42</v>
      </c>
      <c r="P77" t="s">
        <v>43</v>
      </c>
      <c r="Q77" t="s">
        <v>40</v>
      </c>
      <c r="R77">
        <v>1179334</v>
      </c>
      <c r="S77" t="s">
        <v>44</v>
      </c>
      <c r="T77">
        <v>76</v>
      </c>
      <c r="U77" t="s">
        <v>85</v>
      </c>
      <c r="V77">
        <v>0</v>
      </c>
      <c r="W77">
        <v>0</v>
      </c>
      <c r="X77" t="s">
        <v>86</v>
      </c>
      <c r="Y77" t="s">
        <v>40</v>
      </c>
      <c r="Z77" t="s">
        <v>40</v>
      </c>
      <c r="AA77" t="s">
        <v>40</v>
      </c>
      <c r="AB77" t="s">
        <v>40</v>
      </c>
      <c r="AC77" t="s">
        <v>40</v>
      </c>
      <c r="AD77" t="s">
        <v>40</v>
      </c>
      <c r="AE77" t="s">
        <v>40</v>
      </c>
      <c r="AF77" t="s">
        <v>40</v>
      </c>
      <c r="AG77" s="1">
        <v>38212</v>
      </c>
      <c r="AH77">
        <v>1600</v>
      </c>
      <c r="AI77" t="s">
        <v>40</v>
      </c>
      <c r="AJ77" t="s">
        <v>40</v>
      </c>
      <c r="AK77" t="s">
        <v>40</v>
      </c>
      <c r="AL77" t="s">
        <v>40</v>
      </c>
      <c r="AN77" s="2" t="s">
        <v>120</v>
      </c>
      <c r="AO77">
        <v>160</v>
      </c>
    </row>
    <row r="78" spans="1:41" ht="409.6" x14ac:dyDescent="0.3">
      <c r="A78">
        <v>5421071</v>
      </c>
      <c r="B78" t="s">
        <v>87</v>
      </c>
      <c r="C78" t="str">
        <f>_xlfn.XLOOKUP(B78,Match!$A$2:$A$111,Match!$B$2:$B$111)</f>
        <v>Monroe, FL</v>
      </c>
      <c r="D78" t="str">
        <f>_xlfn.XLOOKUP(C78,Validation!$B$2:$B$68,Validation!$A$2:$A$68)</f>
        <v>12087</v>
      </c>
      <c r="E78" t="s">
        <v>40</v>
      </c>
      <c r="F78" s="1">
        <v>38210</v>
      </c>
      <c r="G78">
        <v>400</v>
      </c>
      <c r="H78" t="s">
        <v>41</v>
      </c>
      <c r="I78" t="s">
        <v>40</v>
      </c>
      <c r="J78" t="s">
        <v>40</v>
      </c>
      <c r="K78">
        <v>0</v>
      </c>
      <c r="L78">
        <v>0</v>
      </c>
      <c r="M78">
        <v>5000</v>
      </c>
      <c r="N78">
        <v>0</v>
      </c>
      <c r="O78" t="s">
        <v>42</v>
      </c>
      <c r="P78" t="s">
        <v>43</v>
      </c>
      <c r="Q78" t="s">
        <v>40</v>
      </c>
      <c r="R78">
        <v>1179334</v>
      </c>
      <c r="S78" t="s">
        <v>44</v>
      </c>
      <c r="T78">
        <v>77</v>
      </c>
      <c r="U78" t="s">
        <v>85</v>
      </c>
      <c r="V78">
        <v>0</v>
      </c>
      <c r="W78">
        <v>0</v>
      </c>
      <c r="X78" t="s">
        <v>86</v>
      </c>
      <c r="Y78" t="s">
        <v>40</v>
      </c>
      <c r="Z78" t="s">
        <v>40</v>
      </c>
      <c r="AA78" t="s">
        <v>40</v>
      </c>
      <c r="AB78" t="s">
        <v>40</v>
      </c>
      <c r="AC78" t="s">
        <v>40</v>
      </c>
      <c r="AD78" t="s">
        <v>40</v>
      </c>
      <c r="AE78" t="s">
        <v>40</v>
      </c>
      <c r="AF78" t="s">
        <v>40</v>
      </c>
      <c r="AG78" s="1">
        <v>38212</v>
      </c>
      <c r="AH78">
        <v>1600</v>
      </c>
      <c r="AI78" t="s">
        <v>40</v>
      </c>
      <c r="AJ78" t="s">
        <v>40</v>
      </c>
      <c r="AK78" t="s">
        <v>40</v>
      </c>
      <c r="AL78" t="s">
        <v>40</v>
      </c>
      <c r="AN78" s="2" t="s">
        <v>120</v>
      </c>
      <c r="AO78">
        <v>161</v>
      </c>
    </row>
    <row r="79" spans="1:41" ht="409.6" x14ac:dyDescent="0.3">
      <c r="A79">
        <v>5413247</v>
      </c>
      <c r="B79" t="s">
        <v>121</v>
      </c>
      <c r="C79" t="str">
        <f>_xlfn.XLOOKUP(B79,Match!$A$2:$A$111,Match!$B$2:$B$111)</f>
        <v>Collier, FL</v>
      </c>
      <c r="D79" t="str">
        <f>_xlfn.XLOOKUP(C79,Validation!$B$2:$B$68,Validation!$A$2:$A$68)</f>
        <v>12021</v>
      </c>
      <c r="E79" t="s">
        <v>40</v>
      </c>
      <c r="F79" s="1">
        <v>38212</v>
      </c>
      <c r="G79">
        <v>0</v>
      </c>
      <c r="H79" t="s">
        <v>41</v>
      </c>
      <c r="I79" t="s">
        <v>40</v>
      </c>
      <c r="J79" t="s">
        <v>40</v>
      </c>
      <c r="K79">
        <v>0</v>
      </c>
      <c r="L79">
        <v>0</v>
      </c>
      <c r="M79">
        <v>2500000</v>
      </c>
      <c r="N79">
        <v>0</v>
      </c>
      <c r="O79" t="s">
        <v>42</v>
      </c>
      <c r="P79" t="s">
        <v>43</v>
      </c>
      <c r="Q79" t="s">
        <v>40</v>
      </c>
      <c r="R79">
        <v>1175921</v>
      </c>
      <c r="S79" t="s">
        <v>44</v>
      </c>
      <c r="T79">
        <v>69</v>
      </c>
      <c r="U79" t="s">
        <v>45</v>
      </c>
      <c r="V79">
        <v>0</v>
      </c>
      <c r="W79">
        <v>0</v>
      </c>
      <c r="X79" t="s">
        <v>67</v>
      </c>
      <c r="Y79" t="s">
        <v>40</v>
      </c>
      <c r="Z79" t="s">
        <v>40</v>
      </c>
      <c r="AA79" t="s">
        <v>40</v>
      </c>
      <c r="AB79" t="s">
        <v>40</v>
      </c>
      <c r="AC79" t="s">
        <v>40</v>
      </c>
      <c r="AD79" t="s">
        <v>40</v>
      </c>
      <c r="AE79" t="s">
        <v>40</v>
      </c>
      <c r="AF79" t="s">
        <v>40</v>
      </c>
      <c r="AG79" s="1">
        <v>38212</v>
      </c>
      <c r="AH79">
        <v>2200</v>
      </c>
      <c r="AI79" t="s">
        <v>40</v>
      </c>
      <c r="AJ79" t="s">
        <v>40</v>
      </c>
      <c r="AK79" t="s">
        <v>40</v>
      </c>
      <c r="AL79" t="s">
        <v>40</v>
      </c>
      <c r="AN79" s="2" t="s">
        <v>122</v>
      </c>
      <c r="AO79">
        <v>162</v>
      </c>
    </row>
    <row r="80" spans="1:41" ht="409.6" x14ac:dyDescent="0.3">
      <c r="A80">
        <v>5413248</v>
      </c>
      <c r="B80" t="s">
        <v>123</v>
      </c>
      <c r="C80" t="str">
        <f>_xlfn.XLOOKUP(B80,Match!$A$2:$A$111,Match!$B$2:$B$111)</f>
        <v>Hendry, FL</v>
      </c>
      <c r="D80" t="str">
        <f>_xlfn.XLOOKUP(C80,Validation!$B$2:$B$68,Validation!$A$2:$A$68)</f>
        <v>12051</v>
      </c>
      <c r="E80" t="s">
        <v>40</v>
      </c>
      <c r="F80" s="1">
        <v>38212</v>
      </c>
      <c r="G80">
        <v>100</v>
      </c>
      <c r="H80" t="s">
        <v>41</v>
      </c>
      <c r="I80" t="s">
        <v>40</v>
      </c>
      <c r="J80" t="s">
        <v>40</v>
      </c>
      <c r="K80">
        <v>0</v>
      </c>
      <c r="L80">
        <v>0</v>
      </c>
      <c r="M80">
        <v>50000</v>
      </c>
      <c r="N80">
        <v>0</v>
      </c>
      <c r="O80" t="s">
        <v>42</v>
      </c>
      <c r="P80" t="s">
        <v>43</v>
      </c>
      <c r="Q80" t="s">
        <v>40</v>
      </c>
      <c r="R80">
        <v>1175921</v>
      </c>
      <c r="S80" t="s">
        <v>44</v>
      </c>
      <c r="T80">
        <v>66</v>
      </c>
      <c r="U80" t="s">
        <v>45</v>
      </c>
      <c r="V80">
        <v>0</v>
      </c>
      <c r="W80">
        <v>0</v>
      </c>
      <c r="X80" t="s">
        <v>67</v>
      </c>
      <c r="Y80" t="s">
        <v>40</v>
      </c>
      <c r="Z80" t="s">
        <v>40</v>
      </c>
      <c r="AA80" t="s">
        <v>40</v>
      </c>
      <c r="AB80" t="s">
        <v>40</v>
      </c>
      <c r="AC80" t="s">
        <v>40</v>
      </c>
      <c r="AD80" t="s">
        <v>40</v>
      </c>
      <c r="AE80" t="s">
        <v>40</v>
      </c>
      <c r="AF80" t="s">
        <v>40</v>
      </c>
      <c r="AG80" s="1">
        <v>38212</v>
      </c>
      <c r="AH80">
        <v>2300</v>
      </c>
      <c r="AI80" t="s">
        <v>40</v>
      </c>
      <c r="AJ80" t="s">
        <v>40</v>
      </c>
      <c r="AK80" t="s">
        <v>40</v>
      </c>
      <c r="AL80" t="s">
        <v>40</v>
      </c>
      <c r="AN80" s="2" t="s">
        <v>122</v>
      </c>
      <c r="AO80">
        <v>163</v>
      </c>
    </row>
    <row r="81" spans="1:41" ht="409.6" x14ac:dyDescent="0.3">
      <c r="A81">
        <v>5413249</v>
      </c>
      <c r="B81" t="s">
        <v>124</v>
      </c>
      <c r="C81" t="str">
        <f>_xlfn.XLOOKUP(B81,Match!$A$2:$A$111,Match!$B$2:$B$111)</f>
        <v>Glades, FL</v>
      </c>
      <c r="D81" t="str">
        <f>_xlfn.XLOOKUP(C81,Validation!$B$2:$B$68,Validation!$A$2:$A$68)</f>
        <v>12043</v>
      </c>
      <c r="E81" t="s">
        <v>40</v>
      </c>
      <c r="F81" s="1">
        <v>38212</v>
      </c>
      <c r="G81">
        <v>200</v>
      </c>
      <c r="H81" t="s">
        <v>41</v>
      </c>
      <c r="I81" t="s">
        <v>40</v>
      </c>
      <c r="J81" t="s">
        <v>40</v>
      </c>
      <c r="K81">
        <v>0</v>
      </c>
      <c r="L81">
        <v>0</v>
      </c>
      <c r="M81">
        <v>25000</v>
      </c>
      <c r="N81">
        <v>0</v>
      </c>
      <c r="O81" t="s">
        <v>42</v>
      </c>
      <c r="P81" t="s">
        <v>43</v>
      </c>
      <c r="Q81" t="s">
        <v>40</v>
      </c>
      <c r="R81">
        <v>1175921</v>
      </c>
      <c r="S81" t="s">
        <v>44</v>
      </c>
      <c r="T81">
        <v>63</v>
      </c>
      <c r="U81" t="s">
        <v>45</v>
      </c>
      <c r="V81">
        <v>0</v>
      </c>
      <c r="W81">
        <v>0</v>
      </c>
      <c r="X81" t="s">
        <v>67</v>
      </c>
      <c r="Y81" t="s">
        <v>40</v>
      </c>
      <c r="Z81" t="s">
        <v>40</v>
      </c>
      <c r="AA81" t="s">
        <v>40</v>
      </c>
      <c r="AB81" t="s">
        <v>40</v>
      </c>
      <c r="AC81" t="s">
        <v>40</v>
      </c>
      <c r="AD81" t="s">
        <v>40</v>
      </c>
      <c r="AE81" t="s">
        <v>40</v>
      </c>
      <c r="AF81" t="s">
        <v>40</v>
      </c>
      <c r="AG81" s="1">
        <v>38212</v>
      </c>
      <c r="AH81">
        <v>2330</v>
      </c>
      <c r="AI81" t="s">
        <v>40</v>
      </c>
      <c r="AJ81" t="s">
        <v>40</v>
      </c>
      <c r="AK81" t="s">
        <v>40</v>
      </c>
      <c r="AL81" t="s">
        <v>40</v>
      </c>
      <c r="AN81" s="2" t="s">
        <v>122</v>
      </c>
      <c r="AO81">
        <v>164</v>
      </c>
    </row>
    <row r="82" spans="1:41" x14ac:dyDescent="0.3">
      <c r="A82">
        <v>5419969</v>
      </c>
      <c r="B82" t="s">
        <v>105</v>
      </c>
      <c r="C82" t="str">
        <f>_xlfn.XLOOKUP(B82,Match!$A$2:$A$111,Match!$B$2:$B$111)</f>
        <v>Dixie, FL</v>
      </c>
      <c r="D82" t="str">
        <f>_xlfn.XLOOKUP(C82,Validation!$B$2:$B$68,Validation!$A$2:$A$68)</f>
        <v>12029</v>
      </c>
      <c r="E82" t="s">
        <v>40</v>
      </c>
      <c r="F82" s="1">
        <v>38212</v>
      </c>
      <c r="G82">
        <v>600</v>
      </c>
      <c r="H82" t="s">
        <v>41</v>
      </c>
      <c r="I82" t="s">
        <v>40</v>
      </c>
      <c r="J82" t="s">
        <v>40</v>
      </c>
      <c r="K82">
        <v>0</v>
      </c>
      <c r="L82">
        <v>0</v>
      </c>
      <c r="M82">
        <v>0</v>
      </c>
      <c r="N82">
        <v>0</v>
      </c>
      <c r="O82" t="s">
        <v>42</v>
      </c>
      <c r="P82" t="s">
        <v>43</v>
      </c>
      <c r="Q82" t="s">
        <v>40</v>
      </c>
      <c r="R82">
        <v>1178868</v>
      </c>
      <c r="S82" t="s">
        <v>44</v>
      </c>
      <c r="T82">
        <v>34</v>
      </c>
      <c r="U82" t="s">
        <v>106</v>
      </c>
      <c r="V82">
        <v>0</v>
      </c>
      <c r="W82">
        <v>0</v>
      </c>
      <c r="X82" t="s">
        <v>67</v>
      </c>
      <c r="Y82" t="s">
        <v>40</v>
      </c>
      <c r="Z82" t="s">
        <v>40</v>
      </c>
      <c r="AA82" t="s">
        <v>40</v>
      </c>
      <c r="AB82" t="s">
        <v>40</v>
      </c>
      <c r="AC82" t="s">
        <v>40</v>
      </c>
      <c r="AD82" t="s">
        <v>40</v>
      </c>
      <c r="AE82" t="s">
        <v>40</v>
      </c>
      <c r="AF82" t="s">
        <v>40</v>
      </c>
      <c r="AG82" s="1">
        <v>38212</v>
      </c>
      <c r="AH82">
        <v>1800</v>
      </c>
      <c r="AI82" t="s">
        <v>40</v>
      </c>
      <c r="AJ82" t="s">
        <v>40</v>
      </c>
      <c r="AK82" t="s">
        <v>40</v>
      </c>
      <c r="AL82" t="s">
        <v>40</v>
      </c>
      <c r="AN82" t="s">
        <v>125</v>
      </c>
      <c r="AO82">
        <v>165</v>
      </c>
    </row>
    <row r="83" spans="1:41" ht="409.6" x14ac:dyDescent="0.3">
      <c r="A83">
        <v>5417272</v>
      </c>
      <c r="B83" t="s">
        <v>63</v>
      </c>
      <c r="C83" t="str">
        <f>_xlfn.XLOOKUP(B83,Match!$A$2:$A$111,Match!$B$2:$B$111)</f>
        <v>Manatee, FL</v>
      </c>
      <c r="D83" t="str">
        <f>_xlfn.XLOOKUP(C83,Validation!$B$2:$B$68,Validation!$A$2:$A$68)</f>
        <v>12081</v>
      </c>
      <c r="E83" t="s">
        <v>40</v>
      </c>
      <c r="F83" s="1">
        <v>38212</v>
      </c>
      <c r="G83">
        <v>1400</v>
      </c>
      <c r="H83" t="s">
        <v>41</v>
      </c>
      <c r="I83" t="s">
        <v>40</v>
      </c>
      <c r="J83" t="s">
        <v>40</v>
      </c>
      <c r="K83">
        <v>0</v>
      </c>
      <c r="L83">
        <v>0</v>
      </c>
      <c r="M83">
        <v>8200000</v>
      </c>
      <c r="N83">
        <v>0</v>
      </c>
      <c r="O83" t="s">
        <v>42</v>
      </c>
      <c r="P83" t="s">
        <v>43</v>
      </c>
      <c r="Q83" t="s">
        <v>40</v>
      </c>
      <c r="R83">
        <v>1178038</v>
      </c>
      <c r="S83" t="s">
        <v>44</v>
      </c>
      <c r="T83">
        <v>55</v>
      </c>
      <c r="U83" t="s">
        <v>54</v>
      </c>
      <c r="V83">
        <v>0</v>
      </c>
      <c r="W83">
        <v>0</v>
      </c>
      <c r="X83" t="s">
        <v>67</v>
      </c>
      <c r="Y83" t="s">
        <v>40</v>
      </c>
      <c r="Z83" t="s">
        <v>40</v>
      </c>
      <c r="AA83" t="s">
        <v>40</v>
      </c>
      <c r="AB83" t="s">
        <v>40</v>
      </c>
      <c r="AC83" t="s">
        <v>40</v>
      </c>
      <c r="AD83" t="s">
        <v>40</v>
      </c>
      <c r="AE83" t="s">
        <v>40</v>
      </c>
      <c r="AF83" t="s">
        <v>40</v>
      </c>
      <c r="AG83" s="1">
        <v>38212</v>
      </c>
      <c r="AH83">
        <v>2000</v>
      </c>
      <c r="AI83" t="s">
        <v>40</v>
      </c>
      <c r="AJ83" t="s">
        <v>40</v>
      </c>
      <c r="AK83" t="s">
        <v>40</v>
      </c>
      <c r="AL83" t="s">
        <v>40</v>
      </c>
      <c r="AN83" s="2" t="s">
        <v>126</v>
      </c>
      <c r="AO83">
        <v>166</v>
      </c>
    </row>
    <row r="84" spans="1:41" ht="409.6" x14ac:dyDescent="0.3">
      <c r="A84">
        <v>5417271</v>
      </c>
      <c r="B84" t="s">
        <v>57</v>
      </c>
      <c r="C84" t="str">
        <f>_xlfn.XLOOKUP(B84,Match!$A$2:$A$111,Match!$B$2:$B$111)</f>
        <v>Lee, FL</v>
      </c>
      <c r="D84" t="str">
        <f>_xlfn.XLOOKUP(C84,Validation!$B$2:$B$68,Validation!$A$2:$A$68)</f>
        <v>12071</v>
      </c>
      <c r="E84" t="s">
        <v>40</v>
      </c>
      <c r="F84" s="1">
        <v>38212</v>
      </c>
      <c r="G84">
        <v>1400</v>
      </c>
      <c r="H84" t="s">
        <v>41</v>
      </c>
      <c r="I84" t="s">
        <v>40</v>
      </c>
      <c r="J84" t="s">
        <v>40</v>
      </c>
      <c r="K84">
        <v>1</v>
      </c>
      <c r="L84">
        <v>30</v>
      </c>
      <c r="M84">
        <v>2000000000</v>
      </c>
      <c r="N84">
        <v>10000000</v>
      </c>
      <c r="O84" t="s">
        <v>42</v>
      </c>
      <c r="P84" t="s">
        <v>43</v>
      </c>
      <c r="Q84" t="s">
        <v>40</v>
      </c>
      <c r="R84">
        <v>1178038</v>
      </c>
      <c r="S84" t="s">
        <v>44</v>
      </c>
      <c r="T84">
        <v>65</v>
      </c>
      <c r="U84" t="s">
        <v>54</v>
      </c>
      <c r="V84">
        <v>0</v>
      </c>
      <c r="W84">
        <v>0</v>
      </c>
      <c r="X84" t="s">
        <v>67</v>
      </c>
      <c r="Y84" t="s">
        <v>40</v>
      </c>
      <c r="Z84" t="s">
        <v>40</v>
      </c>
      <c r="AA84" t="s">
        <v>40</v>
      </c>
      <c r="AB84" t="s">
        <v>40</v>
      </c>
      <c r="AC84" t="s">
        <v>40</v>
      </c>
      <c r="AD84" t="s">
        <v>40</v>
      </c>
      <c r="AE84" t="s">
        <v>40</v>
      </c>
      <c r="AF84" t="s">
        <v>40</v>
      </c>
      <c r="AG84" s="1">
        <v>38212</v>
      </c>
      <c r="AH84">
        <v>2000</v>
      </c>
      <c r="AI84" t="s">
        <v>40</v>
      </c>
      <c r="AJ84" t="s">
        <v>40</v>
      </c>
      <c r="AK84" t="s">
        <v>40</v>
      </c>
      <c r="AL84" t="s">
        <v>40</v>
      </c>
      <c r="AN84" s="2" t="s">
        <v>126</v>
      </c>
      <c r="AO84">
        <v>167</v>
      </c>
    </row>
    <row r="85" spans="1:41" ht="409.6" x14ac:dyDescent="0.3">
      <c r="A85">
        <v>5417270</v>
      </c>
      <c r="B85" t="s">
        <v>53</v>
      </c>
      <c r="C85" t="str">
        <f>_xlfn.XLOOKUP(B85,Match!$A$2:$A$111,Match!$B$2:$B$111)</f>
        <v>DeSoto, FL</v>
      </c>
      <c r="D85" t="str">
        <f>_xlfn.XLOOKUP(C85,Validation!$B$2:$B$68,Validation!$A$2:$A$68)</f>
        <v>12027</v>
      </c>
      <c r="E85" t="s">
        <v>40</v>
      </c>
      <c r="F85" s="1">
        <v>38212</v>
      </c>
      <c r="G85">
        <v>1400</v>
      </c>
      <c r="H85" t="s">
        <v>41</v>
      </c>
      <c r="I85" t="s">
        <v>40</v>
      </c>
      <c r="J85" t="s">
        <v>40</v>
      </c>
      <c r="K85">
        <v>1</v>
      </c>
      <c r="L85">
        <v>50</v>
      </c>
      <c r="M85">
        <v>382000000</v>
      </c>
      <c r="N85">
        <v>125000000</v>
      </c>
      <c r="O85" t="s">
        <v>42</v>
      </c>
      <c r="P85" t="s">
        <v>43</v>
      </c>
      <c r="Q85" t="s">
        <v>40</v>
      </c>
      <c r="R85">
        <v>1178038</v>
      </c>
      <c r="S85" t="s">
        <v>44</v>
      </c>
      <c r="T85">
        <v>61</v>
      </c>
      <c r="U85" t="s">
        <v>54</v>
      </c>
      <c r="V85">
        <v>0</v>
      </c>
      <c r="W85">
        <v>0</v>
      </c>
      <c r="X85" t="s">
        <v>67</v>
      </c>
      <c r="Y85" t="s">
        <v>40</v>
      </c>
      <c r="Z85" t="s">
        <v>40</v>
      </c>
      <c r="AA85" t="s">
        <v>40</v>
      </c>
      <c r="AB85" t="s">
        <v>40</v>
      </c>
      <c r="AC85" t="s">
        <v>40</v>
      </c>
      <c r="AD85" t="s">
        <v>40</v>
      </c>
      <c r="AE85" t="s">
        <v>40</v>
      </c>
      <c r="AF85" t="s">
        <v>40</v>
      </c>
      <c r="AG85" s="1">
        <v>38212</v>
      </c>
      <c r="AH85">
        <v>2000</v>
      </c>
      <c r="AI85" t="s">
        <v>40</v>
      </c>
      <c r="AJ85" t="s">
        <v>40</v>
      </c>
      <c r="AK85" t="s">
        <v>40</v>
      </c>
      <c r="AL85" t="s">
        <v>40</v>
      </c>
      <c r="AN85" s="2" t="s">
        <v>126</v>
      </c>
      <c r="AO85">
        <v>168</v>
      </c>
    </row>
    <row r="86" spans="1:41" ht="409.6" x14ac:dyDescent="0.3">
      <c r="A86">
        <v>5417269</v>
      </c>
      <c r="B86" t="s">
        <v>59</v>
      </c>
      <c r="C86" t="str">
        <f>_xlfn.XLOOKUP(B86,Match!$A$2:$A$111,Match!$B$2:$B$111)</f>
        <v>Charlotte, FL</v>
      </c>
      <c r="D86" t="str">
        <f>_xlfn.XLOOKUP(C86,Validation!$B$2:$B$68,Validation!$A$2:$A$68)</f>
        <v>12015</v>
      </c>
      <c r="E86" t="s">
        <v>40</v>
      </c>
      <c r="F86" s="1">
        <v>38212</v>
      </c>
      <c r="G86">
        <v>1400</v>
      </c>
      <c r="H86" t="s">
        <v>41</v>
      </c>
      <c r="I86" t="s">
        <v>40</v>
      </c>
      <c r="J86" t="s">
        <v>40</v>
      </c>
      <c r="K86">
        <v>4</v>
      </c>
      <c r="L86">
        <v>700</v>
      </c>
      <c r="M86">
        <v>3000000000</v>
      </c>
      <c r="N86">
        <v>150000000</v>
      </c>
      <c r="O86" t="s">
        <v>42</v>
      </c>
      <c r="P86" t="s">
        <v>43</v>
      </c>
      <c r="Q86" t="s">
        <v>40</v>
      </c>
      <c r="R86">
        <v>1178038</v>
      </c>
      <c r="S86" t="s">
        <v>44</v>
      </c>
      <c r="T86">
        <v>62</v>
      </c>
      <c r="U86" t="s">
        <v>54</v>
      </c>
      <c r="V86">
        <v>0</v>
      </c>
      <c r="W86">
        <v>0</v>
      </c>
      <c r="X86" t="s">
        <v>67</v>
      </c>
      <c r="Y86" t="s">
        <v>40</v>
      </c>
      <c r="Z86" t="s">
        <v>40</v>
      </c>
      <c r="AA86" t="s">
        <v>40</v>
      </c>
      <c r="AB86" t="s">
        <v>40</v>
      </c>
      <c r="AC86" t="s">
        <v>40</v>
      </c>
      <c r="AD86" t="s">
        <v>40</v>
      </c>
      <c r="AE86" t="s">
        <v>40</v>
      </c>
      <c r="AF86" t="s">
        <v>40</v>
      </c>
      <c r="AG86" s="1">
        <v>38212</v>
      </c>
      <c r="AH86">
        <v>2000</v>
      </c>
      <c r="AI86" t="s">
        <v>40</v>
      </c>
      <c r="AJ86" t="s">
        <v>40</v>
      </c>
      <c r="AK86" t="s">
        <v>40</v>
      </c>
      <c r="AL86" t="s">
        <v>40</v>
      </c>
      <c r="AN86" s="2" t="s">
        <v>126</v>
      </c>
      <c r="AO86">
        <v>169</v>
      </c>
    </row>
    <row r="87" spans="1:41" ht="409.6" x14ac:dyDescent="0.3">
      <c r="A87">
        <v>5417273</v>
      </c>
      <c r="B87" t="s">
        <v>62</v>
      </c>
      <c r="C87" t="str">
        <f>_xlfn.XLOOKUP(B87,Match!$A$2:$A$111,Match!$B$2:$B$111)</f>
        <v>Sarasota, FL</v>
      </c>
      <c r="D87" t="str">
        <f>_xlfn.XLOOKUP(C87,Validation!$B$2:$B$68,Validation!$A$2:$A$68)</f>
        <v>12115</v>
      </c>
      <c r="E87" t="s">
        <v>40</v>
      </c>
      <c r="F87" s="1">
        <v>38212</v>
      </c>
      <c r="G87">
        <v>1400</v>
      </c>
      <c r="H87" t="s">
        <v>41</v>
      </c>
      <c r="I87" t="s">
        <v>40</v>
      </c>
      <c r="J87" t="s">
        <v>40</v>
      </c>
      <c r="K87">
        <v>1</v>
      </c>
      <c r="L87">
        <v>0</v>
      </c>
      <c r="M87">
        <v>32400000</v>
      </c>
      <c r="N87">
        <v>0</v>
      </c>
      <c r="O87" t="s">
        <v>42</v>
      </c>
      <c r="P87" t="s">
        <v>43</v>
      </c>
      <c r="Q87" t="s">
        <v>40</v>
      </c>
      <c r="R87">
        <v>1178038</v>
      </c>
      <c r="S87" t="s">
        <v>44</v>
      </c>
      <c r="T87">
        <v>60</v>
      </c>
      <c r="U87" t="s">
        <v>54</v>
      </c>
      <c r="V87">
        <v>0</v>
      </c>
      <c r="W87">
        <v>0</v>
      </c>
      <c r="X87" t="s">
        <v>67</v>
      </c>
      <c r="Y87" t="s">
        <v>40</v>
      </c>
      <c r="Z87" t="s">
        <v>40</v>
      </c>
      <c r="AA87" t="s">
        <v>40</v>
      </c>
      <c r="AB87" t="s">
        <v>40</v>
      </c>
      <c r="AC87" t="s">
        <v>40</v>
      </c>
      <c r="AD87" t="s">
        <v>40</v>
      </c>
      <c r="AE87" t="s">
        <v>40</v>
      </c>
      <c r="AF87" t="s">
        <v>40</v>
      </c>
      <c r="AG87" s="1">
        <v>38212</v>
      </c>
      <c r="AH87">
        <v>2000</v>
      </c>
      <c r="AI87" t="s">
        <v>40</v>
      </c>
      <c r="AJ87" t="s">
        <v>40</v>
      </c>
      <c r="AK87" t="s">
        <v>40</v>
      </c>
      <c r="AL87" t="s">
        <v>40</v>
      </c>
      <c r="AN87" s="2" t="s">
        <v>126</v>
      </c>
      <c r="AO87">
        <v>170</v>
      </c>
    </row>
    <row r="88" spans="1:41" x14ac:dyDescent="0.3">
      <c r="A88">
        <v>5422037</v>
      </c>
      <c r="B88" t="s">
        <v>73</v>
      </c>
      <c r="C88" t="str">
        <f>_xlfn.XLOOKUP(B88,Match!$A$2:$A$111,Match!$B$2:$B$111)</f>
        <v>Volusia, FL</v>
      </c>
      <c r="D88" t="str">
        <f>_xlfn.XLOOKUP(C88,Validation!$B$2:$B$68,Validation!$A$2:$A$68)</f>
        <v>12127</v>
      </c>
      <c r="E88" t="s">
        <v>40</v>
      </c>
      <c r="F88" s="1">
        <v>38212</v>
      </c>
      <c r="G88">
        <v>2040</v>
      </c>
      <c r="H88" t="s">
        <v>41</v>
      </c>
      <c r="I88" t="s">
        <v>40</v>
      </c>
      <c r="J88" t="s">
        <v>40</v>
      </c>
      <c r="K88">
        <v>2</v>
      </c>
      <c r="L88">
        <v>0</v>
      </c>
      <c r="M88">
        <v>52000000</v>
      </c>
      <c r="N88">
        <v>0</v>
      </c>
      <c r="O88" t="s">
        <v>42</v>
      </c>
      <c r="P88" t="s">
        <v>43</v>
      </c>
      <c r="Q88" t="s">
        <v>40</v>
      </c>
      <c r="R88">
        <v>1179616</v>
      </c>
      <c r="S88" t="s">
        <v>44</v>
      </c>
      <c r="T88">
        <v>41</v>
      </c>
      <c r="U88" t="s">
        <v>66</v>
      </c>
      <c r="V88">
        <v>0</v>
      </c>
      <c r="W88">
        <v>0</v>
      </c>
      <c r="X88" t="s">
        <v>86</v>
      </c>
      <c r="Y88" t="s">
        <v>40</v>
      </c>
      <c r="Z88" t="s">
        <v>40</v>
      </c>
      <c r="AA88" t="s">
        <v>40</v>
      </c>
      <c r="AB88" t="s">
        <v>40</v>
      </c>
      <c r="AC88" t="s">
        <v>40</v>
      </c>
      <c r="AD88" t="s">
        <v>40</v>
      </c>
      <c r="AE88" t="s">
        <v>40</v>
      </c>
      <c r="AF88" t="s">
        <v>40</v>
      </c>
      <c r="AG88" s="1">
        <v>38212</v>
      </c>
      <c r="AH88">
        <v>2237</v>
      </c>
      <c r="AI88" t="s">
        <v>40</v>
      </c>
      <c r="AJ88" t="s">
        <v>40</v>
      </c>
      <c r="AK88" t="s">
        <v>40</v>
      </c>
      <c r="AL88" t="s">
        <v>40</v>
      </c>
      <c r="AN88" t="s">
        <v>127</v>
      </c>
      <c r="AO88">
        <v>171</v>
      </c>
    </row>
    <row r="89" spans="1:41" ht="409.6" x14ac:dyDescent="0.3">
      <c r="A89">
        <v>5413173</v>
      </c>
      <c r="B89" t="s">
        <v>74</v>
      </c>
      <c r="C89" t="str">
        <f>_xlfn.XLOOKUP(B89,Match!$A$2:$A$111,Match!$B$2:$B$111)</f>
        <v>Flagler, FL</v>
      </c>
      <c r="D89" t="str">
        <f>_xlfn.XLOOKUP(C89,Validation!$B$2:$B$68,Validation!$A$2:$A$68)</f>
        <v>12035</v>
      </c>
      <c r="E89" t="s">
        <v>40</v>
      </c>
      <c r="F89" s="1">
        <v>38212</v>
      </c>
      <c r="G89">
        <v>2200</v>
      </c>
      <c r="H89" t="s">
        <v>41</v>
      </c>
      <c r="I89" t="s">
        <v>40</v>
      </c>
      <c r="J89" t="s">
        <v>40</v>
      </c>
      <c r="K89">
        <v>0</v>
      </c>
      <c r="L89">
        <v>0</v>
      </c>
      <c r="M89">
        <v>20000</v>
      </c>
      <c r="N89">
        <v>0</v>
      </c>
      <c r="O89" t="s">
        <v>42</v>
      </c>
      <c r="P89" t="s">
        <v>43</v>
      </c>
      <c r="Q89" t="s">
        <v>40</v>
      </c>
      <c r="R89">
        <v>1175494</v>
      </c>
      <c r="S89" t="s">
        <v>44</v>
      </c>
      <c r="T89">
        <v>38</v>
      </c>
      <c r="U89" t="s">
        <v>75</v>
      </c>
      <c r="V89">
        <v>0</v>
      </c>
      <c r="W89">
        <v>0</v>
      </c>
      <c r="X89" t="s">
        <v>128</v>
      </c>
      <c r="Y89" t="s">
        <v>40</v>
      </c>
      <c r="Z89" t="s">
        <v>40</v>
      </c>
      <c r="AA89" t="s">
        <v>40</v>
      </c>
      <c r="AB89" t="s">
        <v>40</v>
      </c>
      <c r="AC89" t="s">
        <v>40</v>
      </c>
      <c r="AD89" t="s">
        <v>40</v>
      </c>
      <c r="AE89" t="s">
        <v>40</v>
      </c>
      <c r="AF89" t="s">
        <v>40</v>
      </c>
      <c r="AG89" s="1">
        <v>38212</v>
      </c>
      <c r="AH89">
        <v>2300</v>
      </c>
      <c r="AI89" t="s">
        <v>40</v>
      </c>
      <c r="AJ89" t="s">
        <v>40</v>
      </c>
      <c r="AK89" t="s">
        <v>40</v>
      </c>
      <c r="AL89" t="s">
        <v>40</v>
      </c>
      <c r="AN89" s="2" t="s">
        <v>129</v>
      </c>
      <c r="AO89">
        <v>172</v>
      </c>
    </row>
    <row r="90" spans="1:41" ht="409.6" x14ac:dyDescent="0.3">
      <c r="A90">
        <v>5420613</v>
      </c>
      <c r="B90" t="s">
        <v>88</v>
      </c>
      <c r="C90" t="str">
        <f>_xlfn.XLOOKUP(B90,Match!$A$2:$A$111,Match!$B$2:$B$111)</f>
        <v>Monroe, FL</v>
      </c>
      <c r="D90" t="str">
        <f>_xlfn.XLOOKUP(C90,Validation!$B$2:$B$68,Validation!$A$2:$A$68)</f>
        <v>12087</v>
      </c>
      <c r="E90" t="s">
        <v>40</v>
      </c>
      <c r="F90" s="1">
        <v>38231</v>
      </c>
      <c r="G90">
        <v>2200</v>
      </c>
      <c r="H90" t="s">
        <v>41</v>
      </c>
      <c r="I90" t="s">
        <v>40</v>
      </c>
      <c r="J90" t="s">
        <v>40</v>
      </c>
      <c r="K90">
        <v>0</v>
      </c>
      <c r="L90">
        <v>0</v>
      </c>
      <c r="M90">
        <v>5000</v>
      </c>
      <c r="N90">
        <v>0</v>
      </c>
      <c r="O90" t="s">
        <v>42</v>
      </c>
      <c r="P90" t="s">
        <v>43</v>
      </c>
      <c r="Q90" t="s">
        <v>40</v>
      </c>
      <c r="R90">
        <v>1179376</v>
      </c>
      <c r="S90" t="s">
        <v>44</v>
      </c>
      <c r="T90">
        <v>76</v>
      </c>
      <c r="U90" t="s">
        <v>85</v>
      </c>
      <c r="V90">
        <v>0</v>
      </c>
      <c r="W90">
        <v>0</v>
      </c>
      <c r="X90" t="s">
        <v>86</v>
      </c>
      <c r="Y90" t="s">
        <v>40</v>
      </c>
      <c r="Z90" t="s">
        <v>40</v>
      </c>
      <c r="AA90" t="s">
        <v>40</v>
      </c>
      <c r="AB90" t="s">
        <v>40</v>
      </c>
      <c r="AC90" t="s">
        <v>40</v>
      </c>
      <c r="AD90" t="s">
        <v>40</v>
      </c>
      <c r="AE90" t="s">
        <v>40</v>
      </c>
      <c r="AF90" t="s">
        <v>40</v>
      </c>
      <c r="AG90" s="1">
        <v>38236</v>
      </c>
      <c r="AH90">
        <v>400</v>
      </c>
      <c r="AI90" t="s">
        <v>40</v>
      </c>
      <c r="AJ90" t="s">
        <v>40</v>
      </c>
      <c r="AK90" t="s">
        <v>40</v>
      </c>
      <c r="AL90" t="s">
        <v>40</v>
      </c>
      <c r="AN90" s="2" t="s">
        <v>130</v>
      </c>
      <c r="AO90">
        <v>173</v>
      </c>
    </row>
    <row r="91" spans="1:41" ht="409.6" x14ac:dyDescent="0.3">
      <c r="A91">
        <v>5420612</v>
      </c>
      <c r="B91" t="s">
        <v>87</v>
      </c>
      <c r="C91" t="str">
        <f>_xlfn.XLOOKUP(B91,Match!$A$2:$A$111,Match!$B$2:$B$111)</f>
        <v>Monroe, FL</v>
      </c>
      <c r="D91" t="str">
        <f>_xlfn.XLOOKUP(C91,Validation!$B$2:$B$68,Validation!$A$2:$A$68)</f>
        <v>12087</v>
      </c>
      <c r="E91" t="s">
        <v>40</v>
      </c>
      <c r="F91" s="1">
        <v>38231</v>
      </c>
      <c r="G91">
        <v>2200</v>
      </c>
      <c r="H91" t="s">
        <v>41</v>
      </c>
      <c r="I91" t="s">
        <v>40</v>
      </c>
      <c r="J91" t="s">
        <v>40</v>
      </c>
      <c r="K91">
        <v>0</v>
      </c>
      <c r="L91">
        <v>0</v>
      </c>
      <c r="M91">
        <v>10000</v>
      </c>
      <c r="N91">
        <v>0</v>
      </c>
      <c r="O91" t="s">
        <v>42</v>
      </c>
      <c r="P91" t="s">
        <v>43</v>
      </c>
      <c r="Q91" t="s">
        <v>40</v>
      </c>
      <c r="R91">
        <v>1179376</v>
      </c>
      <c r="S91" t="s">
        <v>44</v>
      </c>
      <c r="T91">
        <v>77</v>
      </c>
      <c r="U91" t="s">
        <v>85</v>
      </c>
      <c r="V91">
        <v>0</v>
      </c>
      <c r="W91">
        <v>0</v>
      </c>
      <c r="X91" t="s">
        <v>86</v>
      </c>
      <c r="Y91" t="s">
        <v>40</v>
      </c>
      <c r="Z91" t="s">
        <v>40</v>
      </c>
      <c r="AA91" t="s">
        <v>40</v>
      </c>
      <c r="AB91" t="s">
        <v>40</v>
      </c>
      <c r="AC91" t="s">
        <v>40</v>
      </c>
      <c r="AD91" t="s">
        <v>40</v>
      </c>
      <c r="AE91" t="s">
        <v>40</v>
      </c>
      <c r="AF91" t="s">
        <v>40</v>
      </c>
      <c r="AG91" s="1">
        <v>38236</v>
      </c>
      <c r="AH91">
        <v>400</v>
      </c>
      <c r="AI91" t="s">
        <v>40</v>
      </c>
      <c r="AJ91" t="s">
        <v>40</v>
      </c>
      <c r="AK91" t="s">
        <v>40</v>
      </c>
      <c r="AL91" t="s">
        <v>40</v>
      </c>
      <c r="AN91" s="2" t="s">
        <v>130</v>
      </c>
      <c r="AO91">
        <v>174</v>
      </c>
    </row>
    <row r="92" spans="1:41" ht="409.6" x14ac:dyDescent="0.3">
      <c r="A92">
        <v>5420611</v>
      </c>
      <c r="B92" t="s">
        <v>84</v>
      </c>
      <c r="C92" t="str">
        <f>_xlfn.XLOOKUP(B92,Match!$A$2:$A$111,Match!$B$2:$B$111)</f>
        <v>Monroe, FL</v>
      </c>
      <c r="D92" t="str">
        <f>_xlfn.XLOOKUP(C92,Validation!$B$2:$B$68,Validation!$A$2:$A$68)</f>
        <v>12087</v>
      </c>
      <c r="E92" t="s">
        <v>40</v>
      </c>
      <c r="F92" s="1">
        <v>38231</v>
      </c>
      <c r="G92">
        <v>2200</v>
      </c>
      <c r="H92" t="s">
        <v>41</v>
      </c>
      <c r="I92" t="s">
        <v>40</v>
      </c>
      <c r="J92" t="s">
        <v>40</v>
      </c>
      <c r="K92">
        <v>0</v>
      </c>
      <c r="L92">
        <v>0</v>
      </c>
      <c r="M92">
        <v>5000</v>
      </c>
      <c r="N92">
        <v>0</v>
      </c>
      <c r="O92" t="s">
        <v>42</v>
      </c>
      <c r="P92" t="s">
        <v>43</v>
      </c>
      <c r="Q92" t="s">
        <v>40</v>
      </c>
      <c r="R92">
        <v>1179376</v>
      </c>
      <c r="S92" t="s">
        <v>44</v>
      </c>
      <c r="T92">
        <v>78</v>
      </c>
      <c r="U92" t="s">
        <v>85</v>
      </c>
      <c r="V92">
        <v>0</v>
      </c>
      <c r="W92">
        <v>0</v>
      </c>
      <c r="X92" t="s">
        <v>86</v>
      </c>
      <c r="Y92" t="s">
        <v>40</v>
      </c>
      <c r="Z92" t="s">
        <v>40</v>
      </c>
      <c r="AA92" t="s">
        <v>40</v>
      </c>
      <c r="AB92" t="s">
        <v>40</v>
      </c>
      <c r="AC92" t="s">
        <v>40</v>
      </c>
      <c r="AD92" t="s">
        <v>40</v>
      </c>
      <c r="AE92" t="s">
        <v>40</v>
      </c>
      <c r="AF92" t="s">
        <v>40</v>
      </c>
      <c r="AG92" s="1">
        <v>38236</v>
      </c>
      <c r="AH92">
        <v>400</v>
      </c>
      <c r="AI92" t="s">
        <v>40</v>
      </c>
      <c r="AJ92" t="s">
        <v>40</v>
      </c>
      <c r="AK92" t="s">
        <v>40</v>
      </c>
      <c r="AL92" t="s">
        <v>40</v>
      </c>
      <c r="AN92" s="2" t="s">
        <v>130</v>
      </c>
      <c r="AO92">
        <v>175</v>
      </c>
    </row>
    <row r="93" spans="1:41" ht="409.6" x14ac:dyDescent="0.3">
      <c r="A93">
        <v>5422409</v>
      </c>
      <c r="B93" t="s">
        <v>52</v>
      </c>
      <c r="C93" t="str">
        <f>_xlfn.XLOOKUP(B93,Match!$A$2:$A$111,Match!$B$2:$B$111)</f>
        <v>Broward, FL</v>
      </c>
      <c r="D93" t="str">
        <f>_xlfn.XLOOKUP(C93,Validation!$B$2:$B$68,Validation!$A$2:$A$68)</f>
        <v>12011</v>
      </c>
      <c r="E93" t="s">
        <v>40</v>
      </c>
      <c r="F93" s="1">
        <v>38234</v>
      </c>
      <c r="G93">
        <v>900</v>
      </c>
      <c r="H93" t="s">
        <v>41</v>
      </c>
      <c r="I93" t="s">
        <v>40</v>
      </c>
      <c r="J93" t="s">
        <v>40</v>
      </c>
      <c r="K93">
        <v>0</v>
      </c>
      <c r="L93">
        <v>0</v>
      </c>
      <c r="M93">
        <v>80000000</v>
      </c>
      <c r="N93">
        <v>0</v>
      </c>
      <c r="O93" t="s">
        <v>42</v>
      </c>
      <c r="P93" t="s">
        <v>43</v>
      </c>
      <c r="Q93" t="s">
        <v>40</v>
      </c>
      <c r="R93">
        <v>1179869</v>
      </c>
      <c r="S93" t="s">
        <v>44</v>
      </c>
      <c r="T93">
        <v>72</v>
      </c>
      <c r="U93" t="s">
        <v>45</v>
      </c>
      <c r="V93">
        <v>0</v>
      </c>
      <c r="W93">
        <v>0</v>
      </c>
      <c r="X93" t="s">
        <v>67</v>
      </c>
      <c r="Y93" t="s">
        <v>40</v>
      </c>
      <c r="Z93" t="s">
        <v>40</v>
      </c>
      <c r="AA93" t="s">
        <v>40</v>
      </c>
      <c r="AB93" t="s">
        <v>40</v>
      </c>
      <c r="AC93" t="s">
        <v>40</v>
      </c>
      <c r="AD93" t="s">
        <v>40</v>
      </c>
      <c r="AE93" t="s">
        <v>40</v>
      </c>
      <c r="AF93" t="s">
        <v>40</v>
      </c>
      <c r="AG93" s="1">
        <v>38235</v>
      </c>
      <c r="AH93">
        <v>1100</v>
      </c>
      <c r="AI93" t="s">
        <v>40</v>
      </c>
      <c r="AJ93" t="s">
        <v>40</v>
      </c>
      <c r="AK93" t="s">
        <v>40</v>
      </c>
      <c r="AL93" t="s">
        <v>40</v>
      </c>
      <c r="AN93" s="2" t="s">
        <v>131</v>
      </c>
      <c r="AO93">
        <v>176</v>
      </c>
    </row>
    <row r="94" spans="1:41" ht="409.6" x14ac:dyDescent="0.3">
      <c r="A94">
        <v>5422411</v>
      </c>
      <c r="B94" t="s">
        <v>48</v>
      </c>
      <c r="C94" t="str">
        <f>_xlfn.XLOOKUP(B94,Match!$A$2:$A$111,Match!$B$2:$B$111)</f>
        <v>Miami-Dade, FL</v>
      </c>
      <c r="D94" t="str">
        <f>_xlfn.XLOOKUP(C94,Validation!$B$2:$B$68,Validation!$A$2:$A$68)</f>
        <v>12086</v>
      </c>
      <c r="E94" t="s">
        <v>40</v>
      </c>
      <c r="F94" s="1">
        <v>38234</v>
      </c>
      <c r="G94">
        <v>900</v>
      </c>
      <c r="H94" t="s">
        <v>41</v>
      </c>
      <c r="I94" t="s">
        <v>40</v>
      </c>
      <c r="J94" t="s">
        <v>40</v>
      </c>
      <c r="K94">
        <v>0</v>
      </c>
      <c r="L94">
        <v>0</v>
      </c>
      <c r="M94">
        <v>34000000</v>
      </c>
      <c r="N94">
        <v>0</v>
      </c>
      <c r="O94" t="s">
        <v>42</v>
      </c>
      <c r="P94" t="s">
        <v>43</v>
      </c>
      <c r="Q94" t="s">
        <v>40</v>
      </c>
      <c r="R94">
        <v>1179869</v>
      </c>
      <c r="S94" t="s">
        <v>44</v>
      </c>
      <c r="T94">
        <v>74</v>
      </c>
      <c r="U94" t="s">
        <v>45</v>
      </c>
      <c r="V94">
        <v>0</v>
      </c>
      <c r="W94">
        <v>0</v>
      </c>
      <c r="X94" t="s">
        <v>67</v>
      </c>
      <c r="Y94" t="s">
        <v>40</v>
      </c>
      <c r="Z94" t="s">
        <v>40</v>
      </c>
      <c r="AA94" t="s">
        <v>40</v>
      </c>
      <c r="AB94" t="s">
        <v>40</v>
      </c>
      <c r="AC94" t="s">
        <v>40</v>
      </c>
      <c r="AD94" t="s">
        <v>40</v>
      </c>
      <c r="AE94" t="s">
        <v>40</v>
      </c>
      <c r="AF94" t="s">
        <v>40</v>
      </c>
      <c r="AG94" s="1">
        <v>38235</v>
      </c>
      <c r="AH94">
        <v>1100</v>
      </c>
      <c r="AI94" t="s">
        <v>40</v>
      </c>
      <c r="AJ94" t="s">
        <v>40</v>
      </c>
      <c r="AK94" t="s">
        <v>40</v>
      </c>
      <c r="AL94" t="s">
        <v>40</v>
      </c>
      <c r="AN94" s="2" t="s">
        <v>131</v>
      </c>
      <c r="AO94">
        <v>177</v>
      </c>
    </row>
    <row r="95" spans="1:41" ht="409.6" x14ac:dyDescent="0.3">
      <c r="A95">
        <v>5422413</v>
      </c>
      <c r="B95" t="s">
        <v>132</v>
      </c>
      <c r="C95" t="str">
        <f>_xlfn.XLOOKUP(B95,Match!$A$2:$A$111,Match!$B$2:$B$111)</f>
        <v>Collier, FL</v>
      </c>
      <c r="D95" t="str">
        <f>_xlfn.XLOOKUP(C95,Validation!$B$2:$B$68,Validation!$A$2:$A$68)</f>
        <v>12021</v>
      </c>
      <c r="E95" t="s">
        <v>40</v>
      </c>
      <c r="F95" s="1">
        <v>38234</v>
      </c>
      <c r="G95">
        <v>1100</v>
      </c>
      <c r="H95" t="s">
        <v>41</v>
      </c>
      <c r="I95" t="s">
        <v>40</v>
      </c>
      <c r="J95" t="s">
        <v>40</v>
      </c>
      <c r="K95">
        <v>0</v>
      </c>
      <c r="L95">
        <v>0</v>
      </c>
      <c r="M95">
        <v>0</v>
      </c>
      <c r="N95">
        <v>0</v>
      </c>
      <c r="O95" t="s">
        <v>42</v>
      </c>
      <c r="P95" t="s">
        <v>43</v>
      </c>
      <c r="Q95" t="s">
        <v>40</v>
      </c>
      <c r="R95">
        <v>1179869</v>
      </c>
      <c r="S95" t="s">
        <v>44</v>
      </c>
      <c r="T95">
        <v>70</v>
      </c>
      <c r="U95" t="s">
        <v>45</v>
      </c>
      <c r="V95">
        <v>0</v>
      </c>
      <c r="W95">
        <v>0</v>
      </c>
      <c r="X95" t="s">
        <v>67</v>
      </c>
      <c r="Y95" t="s">
        <v>40</v>
      </c>
      <c r="Z95" t="s">
        <v>40</v>
      </c>
      <c r="AA95" t="s">
        <v>40</v>
      </c>
      <c r="AB95" t="s">
        <v>40</v>
      </c>
      <c r="AC95" t="s">
        <v>40</v>
      </c>
      <c r="AD95" t="s">
        <v>40</v>
      </c>
      <c r="AE95" t="s">
        <v>40</v>
      </c>
      <c r="AF95" t="s">
        <v>40</v>
      </c>
      <c r="AG95" s="1">
        <v>38235</v>
      </c>
      <c r="AH95">
        <v>1100</v>
      </c>
      <c r="AI95" t="s">
        <v>40</v>
      </c>
      <c r="AJ95" t="s">
        <v>40</v>
      </c>
      <c r="AK95" t="s">
        <v>40</v>
      </c>
      <c r="AL95" t="s">
        <v>40</v>
      </c>
      <c r="AN95" s="2" t="s">
        <v>131</v>
      </c>
      <c r="AO95">
        <v>178</v>
      </c>
    </row>
    <row r="96" spans="1:41" ht="409.6" x14ac:dyDescent="0.3">
      <c r="A96">
        <v>5422407</v>
      </c>
      <c r="B96" t="s">
        <v>39</v>
      </c>
      <c r="C96" t="str">
        <f>_xlfn.XLOOKUP(B96,Match!$A$2:$A$111,Match!$B$2:$B$111)</f>
        <v>Palm Beach, FL</v>
      </c>
      <c r="D96" t="str">
        <f>_xlfn.XLOOKUP(C96,Validation!$B$2:$B$68,Validation!$A$2:$A$68)</f>
        <v>12099</v>
      </c>
      <c r="E96" t="s">
        <v>40</v>
      </c>
      <c r="F96" s="1">
        <v>38234</v>
      </c>
      <c r="G96">
        <v>1100</v>
      </c>
      <c r="H96" t="s">
        <v>41</v>
      </c>
      <c r="I96" t="s">
        <v>40</v>
      </c>
      <c r="J96" t="s">
        <v>40</v>
      </c>
      <c r="K96">
        <v>0</v>
      </c>
      <c r="L96">
        <v>0</v>
      </c>
      <c r="M96">
        <v>500000000</v>
      </c>
      <c r="N96">
        <v>0</v>
      </c>
      <c r="O96" t="s">
        <v>42</v>
      </c>
      <c r="P96" t="s">
        <v>43</v>
      </c>
      <c r="Q96" t="s">
        <v>40</v>
      </c>
      <c r="R96">
        <v>1179869</v>
      </c>
      <c r="S96" t="s">
        <v>44</v>
      </c>
      <c r="T96">
        <v>68</v>
      </c>
      <c r="U96" t="s">
        <v>45</v>
      </c>
      <c r="V96">
        <v>0</v>
      </c>
      <c r="W96">
        <v>0</v>
      </c>
      <c r="X96" t="s">
        <v>67</v>
      </c>
      <c r="Y96" t="s">
        <v>40</v>
      </c>
      <c r="Z96" t="s">
        <v>40</v>
      </c>
      <c r="AA96" t="s">
        <v>40</v>
      </c>
      <c r="AB96" t="s">
        <v>40</v>
      </c>
      <c r="AC96" t="s">
        <v>40</v>
      </c>
      <c r="AD96" t="s">
        <v>40</v>
      </c>
      <c r="AE96" t="s">
        <v>40</v>
      </c>
      <c r="AF96" t="s">
        <v>40</v>
      </c>
      <c r="AG96" s="1">
        <v>38235</v>
      </c>
      <c r="AH96">
        <v>1100</v>
      </c>
      <c r="AI96" t="s">
        <v>40</v>
      </c>
      <c r="AJ96" t="s">
        <v>40</v>
      </c>
      <c r="AK96" t="s">
        <v>40</v>
      </c>
      <c r="AL96" t="s">
        <v>40</v>
      </c>
      <c r="AN96" s="2" t="s">
        <v>131</v>
      </c>
      <c r="AO96">
        <v>179</v>
      </c>
    </row>
    <row r="97" spans="1:41" ht="409.6" x14ac:dyDescent="0.3">
      <c r="A97">
        <v>5422414</v>
      </c>
      <c r="B97" t="s">
        <v>121</v>
      </c>
      <c r="C97" t="str">
        <f>_xlfn.XLOOKUP(B97,Match!$A$2:$A$111,Match!$B$2:$B$111)</f>
        <v>Collier, FL</v>
      </c>
      <c r="D97" t="str">
        <f>_xlfn.XLOOKUP(C97,Validation!$B$2:$B$68,Validation!$A$2:$A$68)</f>
        <v>12021</v>
      </c>
      <c r="E97" t="s">
        <v>40</v>
      </c>
      <c r="F97" s="1">
        <v>38234</v>
      </c>
      <c r="G97">
        <v>1100</v>
      </c>
      <c r="H97" t="s">
        <v>41</v>
      </c>
      <c r="I97" t="s">
        <v>40</v>
      </c>
      <c r="J97" t="s">
        <v>40</v>
      </c>
      <c r="K97">
        <v>0</v>
      </c>
      <c r="L97">
        <v>0</v>
      </c>
      <c r="M97">
        <v>0</v>
      </c>
      <c r="N97">
        <v>0</v>
      </c>
      <c r="O97" t="s">
        <v>42</v>
      </c>
      <c r="P97" t="s">
        <v>43</v>
      </c>
      <c r="Q97" t="s">
        <v>40</v>
      </c>
      <c r="R97">
        <v>1179869</v>
      </c>
      <c r="S97" t="s">
        <v>44</v>
      </c>
      <c r="T97">
        <v>69</v>
      </c>
      <c r="U97" t="s">
        <v>45</v>
      </c>
      <c r="V97">
        <v>0</v>
      </c>
      <c r="W97">
        <v>0</v>
      </c>
      <c r="X97" t="s">
        <v>67</v>
      </c>
      <c r="Y97" t="s">
        <v>40</v>
      </c>
      <c r="Z97" t="s">
        <v>40</v>
      </c>
      <c r="AA97" t="s">
        <v>40</v>
      </c>
      <c r="AB97" t="s">
        <v>40</v>
      </c>
      <c r="AC97" t="s">
        <v>40</v>
      </c>
      <c r="AD97" t="s">
        <v>40</v>
      </c>
      <c r="AE97" t="s">
        <v>40</v>
      </c>
      <c r="AF97" t="s">
        <v>40</v>
      </c>
      <c r="AG97" s="1">
        <v>38235</v>
      </c>
      <c r="AH97">
        <v>1100</v>
      </c>
      <c r="AI97" t="s">
        <v>40</v>
      </c>
      <c r="AJ97" t="s">
        <v>40</v>
      </c>
      <c r="AK97" t="s">
        <v>40</v>
      </c>
      <c r="AL97" t="s">
        <v>40</v>
      </c>
      <c r="AN97" s="2" t="s">
        <v>131</v>
      </c>
      <c r="AO97">
        <v>180</v>
      </c>
    </row>
    <row r="98" spans="1:41" ht="409.6" x14ac:dyDescent="0.3">
      <c r="A98">
        <v>5422412</v>
      </c>
      <c r="B98" t="s">
        <v>123</v>
      </c>
      <c r="C98" t="str">
        <f>_xlfn.XLOOKUP(B98,Match!$A$2:$A$111,Match!$B$2:$B$111)</f>
        <v>Hendry, FL</v>
      </c>
      <c r="D98" t="str">
        <f>_xlfn.XLOOKUP(C98,Validation!$B$2:$B$68,Validation!$A$2:$A$68)</f>
        <v>12051</v>
      </c>
      <c r="E98" t="s">
        <v>40</v>
      </c>
      <c r="F98" s="1">
        <v>38234</v>
      </c>
      <c r="G98">
        <v>1300</v>
      </c>
      <c r="H98" t="s">
        <v>41</v>
      </c>
      <c r="I98" t="s">
        <v>40</v>
      </c>
      <c r="J98" t="s">
        <v>40</v>
      </c>
      <c r="K98">
        <v>0</v>
      </c>
      <c r="L98">
        <v>0</v>
      </c>
      <c r="M98">
        <v>2000000</v>
      </c>
      <c r="N98">
        <v>0</v>
      </c>
      <c r="O98" t="s">
        <v>42</v>
      </c>
      <c r="P98" t="s">
        <v>43</v>
      </c>
      <c r="Q98" t="s">
        <v>40</v>
      </c>
      <c r="R98">
        <v>1179869</v>
      </c>
      <c r="S98" t="s">
        <v>44</v>
      </c>
      <c r="T98">
        <v>66</v>
      </c>
      <c r="U98" t="s">
        <v>45</v>
      </c>
      <c r="V98">
        <v>0</v>
      </c>
      <c r="W98">
        <v>0</v>
      </c>
      <c r="X98" t="s">
        <v>67</v>
      </c>
      <c r="Y98" t="s">
        <v>40</v>
      </c>
      <c r="Z98" t="s">
        <v>40</v>
      </c>
      <c r="AA98" t="s">
        <v>40</v>
      </c>
      <c r="AB98" t="s">
        <v>40</v>
      </c>
      <c r="AC98" t="s">
        <v>40</v>
      </c>
      <c r="AD98" t="s">
        <v>40</v>
      </c>
      <c r="AE98" t="s">
        <v>40</v>
      </c>
      <c r="AF98" t="s">
        <v>40</v>
      </c>
      <c r="AG98" s="1">
        <v>38235</v>
      </c>
      <c r="AH98">
        <v>1100</v>
      </c>
      <c r="AI98" t="s">
        <v>40</v>
      </c>
      <c r="AJ98" t="s">
        <v>40</v>
      </c>
      <c r="AK98" t="s">
        <v>40</v>
      </c>
      <c r="AL98" t="s">
        <v>40</v>
      </c>
      <c r="AN98" s="2" t="s">
        <v>131</v>
      </c>
      <c r="AO98">
        <v>181</v>
      </c>
    </row>
    <row r="99" spans="1:41" ht="409.6" x14ac:dyDescent="0.3">
      <c r="A99">
        <v>5422410</v>
      </c>
      <c r="B99" t="s">
        <v>124</v>
      </c>
      <c r="C99" t="str">
        <f>_xlfn.XLOOKUP(B99,Match!$A$2:$A$111,Match!$B$2:$B$111)</f>
        <v>Glades, FL</v>
      </c>
      <c r="D99" t="str">
        <f>_xlfn.XLOOKUP(C99,Validation!$B$2:$B$68,Validation!$A$2:$A$68)</f>
        <v>12043</v>
      </c>
      <c r="E99" t="s">
        <v>40</v>
      </c>
      <c r="F99" s="1">
        <v>38234</v>
      </c>
      <c r="G99">
        <v>1300</v>
      </c>
      <c r="H99" t="s">
        <v>41</v>
      </c>
      <c r="I99" t="s">
        <v>40</v>
      </c>
      <c r="J99" t="s">
        <v>40</v>
      </c>
      <c r="K99">
        <v>0</v>
      </c>
      <c r="L99">
        <v>0</v>
      </c>
      <c r="M99">
        <v>5000000</v>
      </c>
      <c r="N99">
        <v>20000000</v>
      </c>
      <c r="O99" t="s">
        <v>42</v>
      </c>
      <c r="P99" t="s">
        <v>43</v>
      </c>
      <c r="Q99" t="s">
        <v>40</v>
      </c>
      <c r="R99">
        <v>1179869</v>
      </c>
      <c r="S99" t="s">
        <v>44</v>
      </c>
      <c r="T99">
        <v>63</v>
      </c>
      <c r="U99" t="s">
        <v>45</v>
      </c>
      <c r="V99">
        <v>0</v>
      </c>
      <c r="W99">
        <v>0</v>
      </c>
      <c r="X99" t="s">
        <v>67</v>
      </c>
      <c r="Y99" t="s">
        <v>40</v>
      </c>
      <c r="Z99" t="s">
        <v>40</v>
      </c>
      <c r="AA99" t="s">
        <v>40</v>
      </c>
      <c r="AB99" t="s">
        <v>40</v>
      </c>
      <c r="AC99" t="s">
        <v>40</v>
      </c>
      <c r="AD99" t="s">
        <v>40</v>
      </c>
      <c r="AE99" t="s">
        <v>40</v>
      </c>
      <c r="AF99" t="s">
        <v>40</v>
      </c>
      <c r="AG99" s="1">
        <v>38235</v>
      </c>
      <c r="AH99">
        <v>1100</v>
      </c>
      <c r="AI99" t="s">
        <v>40</v>
      </c>
      <c r="AJ99" t="s">
        <v>40</v>
      </c>
      <c r="AK99" t="s">
        <v>40</v>
      </c>
      <c r="AL99" t="s">
        <v>40</v>
      </c>
      <c r="AN99" s="2" t="s">
        <v>131</v>
      </c>
      <c r="AO99">
        <v>182</v>
      </c>
    </row>
    <row r="100" spans="1:41" ht="409.6" x14ac:dyDescent="0.3">
      <c r="A100">
        <v>5422408</v>
      </c>
      <c r="B100" t="s">
        <v>133</v>
      </c>
      <c r="C100" t="str">
        <f>_xlfn.XLOOKUP(B100,Match!$A$2:$A$111,Match!$B$2:$B$111)</f>
        <v>Palm Beach, FL</v>
      </c>
      <c r="D100" t="str">
        <f>_xlfn.XLOOKUP(C100,Validation!$B$2:$B$68,Validation!$A$2:$A$68)</f>
        <v>12099</v>
      </c>
      <c r="E100" t="s">
        <v>40</v>
      </c>
      <c r="F100" s="1">
        <v>38234</v>
      </c>
      <c r="G100">
        <v>1300</v>
      </c>
      <c r="H100" t="s">
        <v>41</v>
      </c>
      <c r="I100" t="s">
        <v>40</v>
      </c>
      <c r="J100" t="s">
        <v>40</v>
      </c>
      <c r="K100">
        <v>0</v>
      </c>
      <c r="L100">
        <v>0</v>
      </c>
      <c r="M100">
        <v>0</v>
      </c>
      <c r="N100">
        <v>70000000</v>
      </c>
      <c r="O100" t="s">
        <v>42</v>
      </c>
      <c r="P100" t="s">
        <v>43</v>
      </c>
      <c r="Q100" t="s">
        <v>40</v>
      </c>
      <c r="R100">
        <v>1179869</v>
      </c>
      <c r="S100" t="s">
        <v>44</v>
      </c>
      <c r="T100">
        <v>67</v>
      </c>
      <c r="U100" t="s">
        <v>45</v>
      </c>
      <c r="V100">
        <v>0</v>
      </c>
      <c r="W100">
        <v>0</v>
      </c>
      <c r="X100" t="s">
        <v>67</v>
      </c>
      <c r="Y100" t="s">
        <v>40</v>
      </c>
      <c r="Z100" t="s">
        <v>40</v>
      </c>
      <c r="AA100" t="s">
        <v>40</v>
      </c>
      <c r="AB100" t="s">
        <v>40</v>
      </c>
      <c r="AC100" t="s">
        <v>40</v>
      </c>
      <c r="AD100" t="s">
        <v>40</v>
      </c>
      <c r="AE100" t="s">
        <v>40</v>
      </c>
      <c r="AF100" t="s">
        <v>40</v>
      </c>
      <c r="AG100" s="1">
        <v>38235</v>
      </c>
      <c r="AH100">
        <v>1100</v>
      </c>
      <c r="AI100" t="s">
        <v>40</v>
      </c>
      <c r="AJ100" t="s">
        <v>40</v>
      </c>
      <c r="AK100" t="s">
        <v>40</v>
      </c>
      <c r="AL100" t="s">
        <v>40</v>
      </c>
      <c r="AN100" s="2" t="s">
        <v>131</v>
      </c>
      <c r="AO100">
        <v>183</v>
      </c>
    </row>
    <row r="101" spans="1:41" ht="409.6" x14ac:dyDescent="0.3">
      <c r="A101">
        <v>5424910</v>
      </c>
      <c r="B101" t="s">
        <v>91</v>
      </c>
      <c r="C101" t="str">
        <f>_xlfn.XLOOKUP(B101,Match!$A$2:$A$111,Match!$B$2:$B$111)</f>
        <v>Martin, FL</v>
      </c>
      <c r="D101" t="str">
        <f>_xlfn.XLOOKUP(C101,Validation!$B$2:$B$68,Validation!$A$2:$A$68)</f>
        <v>12085</v>
      </c>
      <c r="E101" t="s">
        <v>40</v>
      </c>
      <c r="F101" s="1">
        <v>38234</v>
      </c>
      <c r="G101">
        <v>1949</v>
      </c>
      <c r="H101" t="s">
        <v>41</v>
      </c>
      <c r="I101" t="s">
        <v>40</v>
      </c>
      <c r="J101" t="s">
        <v>40</v>
      </c>
      <c r="K101">
        <v>0</v>
      </c>
      <c r="L101">
        <v>0</v>
      </c>
      <c r="M101">
        <v>1000000000</v>
      </c>
      <c r="N101">
        <v>21300000</v>
      </c>
      <c r="O101" t="s">
        <v>42</v>
      </c>
      <c r="P101" t="s">
        <v>43</v>
      </c>
      <c r="Q101" t="s">
        <v>40</v>
      </c>
      <c r="R101">
        <v>1181034</v>
      </c>
      <c r="S101" t="s">
        <v>44</v>
      </c>
      <c r="T101">
        <v>64</v>
      </c>
      <c r="U101" t="s">
        <v>66</v>
      </c>
      <c r="V101">
        <v>0</v>
      </c>
      <c r="W101">
        <v>0</v>
      </c>
      <c r="X101" t="s">
        <v>86</v>
      </c>
      <c r="Y101" t="s">
        <v>40</v>
      </c>
      <c r="Z101" t="s">
        <v>40</v>
      </c>
      <c r="AA101" t="s">
        <v>40</v>
      </c>
      <c r="AB101" t="s">
        <v>40</v>
      </c>
      <c r="AC101" t="s">
        <v>40</v>
      </c>
      <c r="AD101" t="s">
        <v>40</v>
      </c>
      <c r="AE101" t="s">
        <v>40</v>
      </c>
      <c r="AF101" t="s">
        <v>40</v>
      </c>
      <c r="AG101" s="1">
        <v>38235</v>
      </c>
      <c r="AH101">
        <v>1949</v>
      </c>
      <c r="AI101" t="s">
        <v>40</v>
      </c>
      <c r="AJ101" t="s">
        <v>40</v>
      </c>
      <c r="AK101" t="s">
        <v>40</v>
      </c>
      <c r="AL101" t="s">
        <v>40</v>
      </c>
      <c r="AN101" s="2" t="s">
        <v>134</v>
      </c>
      <c r="AO101">
        <v>184</v>
      </c>
    </row>
    <row r="102" spans="1:41" ht="409.6" x14ac:dyDescent="0.3">
      <c r="A102">
        <v>5424911</v>
      </c>
      <c r="B102" t="s">
        <v>65</v>
      </c>
      <c r="C102" t="str">
        <f>_xlfn.XLOOKUP(B102,Match!$A$2:$A$111,Match!$B$2:$B$111)</f>
        <v>St. Lucie, FL</v>
      </c>
      <c r="D102" t="str">
        <f>_xlfn.XLOOKUP(C102,Validation!$B$2:$B$68,Validation!$A$2:$A$68)</f>
        <v>12111</v>
      </c>
      <c r="E102" t="s">
        <v>40</v>
      </c>
      <c r="F102" s="1">
        <v>38234</v>
      </c>
      <c r="G102">
        <v>2110</v>
      </c>
      <c r="H102" t="s">
        <v>41</v>
      </c>
      <c r="I102" t="s">
        <v>40</v>
      </c>
      <c r="J102" t="s">
        <v>40</v>
      </c>
      <c r="K102">
        <v>0</v>
      </c>
      <c r="L102">
        <v>0</v>
      </c>
      <c r="M102">
        <v>2500000000</v>
      </c>
      <c r="N102">
        <v>47200000</v>
      </c>
      <c r="O102" t="s">
        <v>42</v>
      </c>
      <c r="P102" t="s">
        <v>43</v>
      </c>
      <c r="Q102" t="s">
        <v>40</v>
      </c>
      <c r="R102">
        <v>1181034</v>
      </c>
      <c r="S102" t="s">
        <v>44</v>
      </c>
      <c r="T102">
        <v>59</v>
      </c>
      <c r="U102" t="s">
        <v>66</v>
      </c>
      <c r="V102">
        <v>0</v>
      </c>
      <c r="W102">
        <v>0</v>
      </c>
      <c r="X102" t="s">
        <v>86</v>
      </c>
      <c r="Y102" t="s">
        <v>40</v>
      </c>
      <c r="Z102" t="s">
        <v>40</v>
      </c>
      <c r="AA102" t="s">
        <v>40</v>
      </c>
      <c r="AB102" t="s">
        <v>40</v>
      </c>
      <c r="AC102" t="s">
        <v>40</v>
      </c>
      <c r="AD102" t="s">
        <v>40</v>
      </c>
      <c r="AE102" t="s">
        <v>40</v>
      </c>
      <c r="AF102" t="s">
        <v>40</v>
      </c>
      <c r="AG102" s="1">
        <v>38235</v>
      </c>
      <c r="AH102">
        <v>1040</v>
      </c>
      <c r="AI102" t="s">
        <v>40</v>
      </c>
      <c r="AJ102" t="s">
        <v>40</v>
      </c>
      <c r="AK102" t="s">
        <v>40</v>
      </c>
      <c r="AL102" t="s">
        <v>40</v>
      </c>
      <c r="AN102" s="2" t="s">
        <v>134</v>
      </c>
      <c r="AO102">
        <v>185</v>
      </c>
    </row>
    <row r="103" spans="1:41" ht="409.6" x14ac:dyDescent="0.3">
      <c r="A103">
        <v>5424912</v>
      </c>
      <c r="B103" t="s">
        <v>71</v>
      </c>
      <c r="C103" t="str">
        <f>_xlfn.XLOOKUP(B103,Match!$A$2:$A$111,Match!$B$2:$B$111)</f>
        <v>Indian River, FL</v>
      </c>
      <c r="D103" t="str">
        <f>_xlfn.XLOOKUP(C103,Validation!$B$2:$B$68,Validation!$A$2:$A$68)</f>
        <v>12061</v>
      </c>
      <c r="E103" t="s">
        <v>40</v>
      </c>
      <c r="F103" s="1">
        <v>38234</v>
      </c>
      <c r="G103">
        <v>2131</v>
      </c>
      <c r="H103" t="s">
        <v>41</v>
      </c>
      <c r="I103" t="s">
        <v>40</v>
      </c>
      <c r="J103" t="s">
        <v>40</v>
      </c>
      <c r="K103">
        <v>0</v>
      </c>
      <c r="L103">
        <v>0</v>
      </c>
      <c r="M103">
        <v>1000000000</v>
      </c>
      <c r="N103">
        <v>20300000</v>
      </c>
      <c r="O103" t="s">
        <v>42</v>
      </c>
      <c r="P103" t="s">
        <v>43</v>
      </c>
      <c r="Q103" t="s">
        <v>40</v>
      </c>
      <c r="R103">
        <v>1181034</v>
      </c>
      <c r="S103" t="s">
        <v>44</v>
      </c>
      <c r="T103">
        <v>54</v>
      </c>
      <c r="U103" t="s">
        <v>66</v>
      </c>
      <c r="V103">
        <v>0</v>
      </c>
      <c r="W103">
        <v>0</v>
      </c>
      <c r="X103" t="s">
        <v>86</v>
      </c>
      <c r="Y103" t="s">
        <v>40</v>
      </c>
      <c r="Z103" t="s">
        <v>40</v>
      </c>
      <c r="AA103" t="s">
        <v>40</v>
      </c>
      <c r="AB103" t="s">
        <v>40</v>
      </c>
      <c r="AC103" t="s">
        <v>40</v>
      </c>
      <c r="AD103" t="s">
        <v>40</v>
      </c>
      <c r="AE103" t="s">
        <v>40</v>
      </c>
      <c r="AF103" t="s">
        <v>40</v>
      </c>
      <c r="AG103" s="1">
        <v>38235</v>
      </c>
      <c r="AH103">
        <v>1040</v>
      </c>
      <c r="AI103" t="s">
        <v>40</v>
      </c>
      <c r="AJ103" t="s">
        <v>40</v>
      </c>
      <c r="AK103" t="s">
        <v>40</v>
      </c>
      <c r="AL103" t="s">
        <v>40</v>
      </c>
      <c r="AN103" s="2" t="s">
        <v>134</v>
      </c>
      <c r="AO103">
        <v>186</v>
      </c>
    </row>
    <row r="104" spans="1:41" ht="409.6" x14ac:dyDescent="0.3">
      <c r="A104">
        <v>5424913</v>
      </c>
      <c r="B104" t="s">
        <v>70</v>
      </c>
      <c r="C104" t="str">
        <f>_xlfn.XLOOKUP(B104,Match!$A$2:$A$111,Match!$B$2:$B$111)</f>
        <v>Brevard, FL</v>
      </c>
      <c r="D104" t="str">
        <f>_xlfn.XLOOKUP(C104,Validation!$B$2:$B$68,Validation!$A$2:$A$68)</f>
        <v>12009</v>
      </c>
      <c r="E104" t="s">
        <v>40</v>
      </c>
      <c r="F104" s="1">
        <v>38234</v>
      </c>
      <c r="G104">
        <v>2224</v>
      </c>
      <c r="H104" t="s">
        <v>41</v>
      </c>
      <c r="I104" t="s">
        <v>40</v>
      </c>
      <c r="J104" t="s">
        <v>40</v>
      </c>
      <c r="K104">
        <v>0</v>
      </c>
      <c r="L104">
        <v>0</v>
      </c>
      <c r="M104">
        <v>90000000</v>
      </c>
      <c r="N104">
        <v>3700000</v>
      </c>
      <c r="O104" t="s">
        <v>42</v>
      </c>
      <c r="P104" t="s">
        <v>43</v>
      </c>
      <c r="Q104" t="s">
        <v>40</v>
      </c>
      <c r="R104">
        <v>1181034</v>
      </c>
      <c r="S104" t="s">
        <v>44</v>
      </c>
      <c r="T104">
        <v>47</v>
      </c>
      <c r="U104" t="s">
        <v>66</v>
      </c>
      <c r="V104">
        <v>0</v>
      </c>
      <c r="W104">
        <v>0</v>
      </c>
      <c r="X104" t="s">
        <v>86</v>
      </c>
      <c r="Y104" t="s">
        <v>40</v>
      </c>
      <c r="Z104" t="s">
        <v>40</v>
      </c>
      <c r="AA104" t="s">
        <v>40</v>
      </c>
      <c r="AB104" t="s">
        <v>40</v>
      </c>
      <c r="AC104" t="s">
        <v>40</v>
      </c>
      <c r="AD104" t="s">
        <v>40</v>
      </c>
      <c r="AE104" t="s">
        <v>40</v>
      </c>
      <c r="AF104" t="s">
        <v>40</v>
      </c>
      <c r="AG104" s="1">
        <v>38235</v>
      </c>
      <c r="AH104">
        <v>1000</v>
      </c>
      <c r="AI104" t="s">
        <v>40</v>
      </c>
      <c r="AJ104" t="s">
        <v>40</v>
      </c>
      <c r="AK104" t="s">
        <v>40</v>
      </c>
      <c r="AL104" t="s">
        <v>40</v>
      </c>
      <c r="AN104" s="2" t="s">
        <v>134</v>
      </c>
      <c r="AO104">
        <v>187</v>
      </c>
    </row>
    <row r="105" spans="1:41" ht="409.6" x14ac:dyDescent="0.3">
      <c r="A105">
        <v>5424914</v>
      </c>
      <c r="B105" t="s">
        <v>73</v>
      </c>
      <c r="C105" t="str">
        <f>_xlfn.XLOOKUP(B105,Match!$A$2:$A$111,Match!$B$2:$B$111)</f>
        <v>Volusia, FL</v>
      </c>
      <c r="D105" t="str">
        <f>_xlfn.XLOOKUP(C105,Validation!$B$2:$B$68,Validation!$A$2:$A$68)</f>
        <v>12127</v>
      </c>
      <c r="E105" t="s">
        <v>40</v>
      </c>
      <c r="F105" s="1">
        <v>38234</v>
      </c>
      <c r="G105">
        <v>2245</v>
      </c>
      <c r="H105" t="s">
        <v>41</v>
      </c>
      <c r="I105" t="s">
        <v>40</v>
      </c>
      <c r="J105" t="s">
        <v>40</v>
      </c>
      <c r="K105">
        <v>0</v>
      </c>
      <c r="L105">
        <v>0</v>
      </c>
      <c r="M105">
        <v>240000000</v>
      </c>
      <c r="N105">
        <v>700000</v>
      </c>
      <c r="O105" t="s">
        <v>42</v>
      </c>
      <c r="P105" t="s">
        <v>43</v>
      </c>
      <c r="Q105" t="s">
        <v>40</v>
      </c>
      <c r="R105">
        <v>1181034</v>
      </c>
      <c r="S105" t="s">
        <v>44</v>
      </c>
      <c r="T105">
        <v>41</v>
      </c>
      <c r="U105" t="s">
        <v>66</v>
      </c>
      <c r="V105">
        <v>0</v>
      </c>
      <c r="W105">
        <v>0</v>
      </c>
      <c r="X105" t="s">
        <v>86</v>
      </c>
      <c r="Y105" t="s">
        <v>40</v>
      </c>
      <c r="Z105" t="s">
        <v>40</v>
      </c>
      <c r="AA105" t="s">
        <v>40</v>
      </c>
      <c r="AB105" t="s">
        <v>40</v>
      </c>
      <c r="AC105" t="s">
        <v>40</v>
      </c>
      <c r="AD105" t="s">
        <v>40</v>
      </c>
      <c r="AE105" t="s">
        <v>40</v>
      </c>
      <c r="AF105" t="s">
        <v>40</v>
      </c>
      <c r="AG105" s="1">
        <v>38235</v>
      </c>
      <c r="AH105">
        <v>807</v>
      </c>
      <c r="AI105" t="s">
        <v>40</v>
      </c>
      <c r="AJ105" t="s">
        <v>40</v>
      </c>
      <c r="AK105" t="s">
        <v>40</v>
      </c>
      <c r="AL105" t="s">
        <v>40</v>
      </c>
      <c r="AN105" s="2" t="s">
        <v>134</v>
      </c>
      <c r="AO105">
        <v>188</v>
      </c>
    </row>
    <row r="106" spans="1:41" ht="409.6" x14ac:dyDescent="0.3">
      <c r="A106">
        <v>5420614</v>
      </c>
      <c r="B106" t="s">
        <v>84</v>
      </c>
      <c r="C106" t="str">
        <f>_xlfn.XLOOKUP(B106,Match!$A$2:$A$111,Match!$B$2:$B$111)</f>
        <v>Monroe, FL</v>
      </c>
      <c r="D106" t="str">
        <f>_xlfn.XLOOKUP(C106,Validation!$B$2:$B$68,Validation!$A$2:$A$68)</f>
        <v>12087</v>
      </c>
      <c r="E106" t="s">
        <v>40</v>
      </c>
      <c r="F106" s="1">
        <v>38242</v>
      </c>
      <c r="G106">
        <v>1000</v>
      </c>
      <c r="H106" t="s">
        <v>41</v>
      </c>
      <c r="I106" t="s">
        <v>40</v>
      </c>
      <c r="J106" t="s">
        <v>40</v>
      </c>
      <c r="K106">
        <v>0</v>
      </c>
      <c r="L106">
        <v>0</v>
      </c>
      <c r="M106">
        <v>0</v>
      </c>
      <c r="N106">
        <v>0</v>
      </c>
      <c r="O106" t="s">
        <v>42</v>
      </c>
      <c r="P106" t="s">
        <v>43</v>
      </c>
      <c r="Q106" t="s">
        <v>40</v>
      </c>
      <c r="R106">
        <v>1179377</v>
      </c>
      <c r="S106" t="s">
        <v>44</v>
      </c>
      <c r="T106">
        <v>78</v>
      </c>
      <c r="U106" t="s">
        <v>85</v>
      </c>
      <c r="V106">
        <v>0</v>
      </c>
      <c r="W106">
        <v>0</v>
      </c>
      <c r="X106" t="s">
        <v>86</v>
      </c>
      <c r="Y106" t="s">
        <v>40</v>
      </c>
      <c r="Z106" t="s">
        <v>40</v>
      </c>
      <c r="AA106" t="s">
        <v>40</v>
      </c>
      <c r="AB106" t="s">
        <v>40</v>
      </c>
      <c r="AC106" t="s">
        <v>40</v>
      </c>
      <c r="AD106" t="s">
        <v>40</v>
      </c>
      <c r="AE106" t="s">
        <v>40</v>
      </c>
      <c r="AF106" t="s">
        <v>40</v>
      </c>
      <c r="AG106" s="1">
        <v>38244</v>
      </c>
      <c r="AH106">
        <v>2200</v>
      </c>
      <c r="AI106" t="s">
        <v>40</v>
      </c>
      <c r="AJ106" t="s">
        <v>40</v>
      </c>
      <c r="AK106" t="s">
        <v>40</v>
      </c>
      <c r="AL106" t="s">
        <v>40</v>
      </c>
      <c r="AN106" s="2" t="s">
        <v>135</v>
      </c>
      <c r="AO106">
        <v>189</v>
      </c>
    </row>
    <row r="107" spans="1:41" ht="409.6" x14ac:dyDescent="0.3">
      <c r="A107">
        <v>5420616</v>
      </c>
      <c r="B107" t="s">
        <v>88</v>
      </c>
      <c r="C107" t="str">
        <f>_xlfn.XLOOKUP(B107,Match!$A$2:$A$111,Match!$B$2:$B$111)</f>
        <v>Monroe, FL</v>
      </c>
      <c r="D107" t="str">
        <f>_xlfn.XLOOKUP(C107,Validation!$B$2:$B$68,Validation!$A$2:$A$68)</f>
        <v>12087</v>
      </c>
      <c r="E107" t="s">
        <v>40</v>
      </c>
      <c r="F107" s="1">
        <v>38242</v>
      </c>
      <c r="G107">
        <v>1000</v>
      </c>
      <c r="H107" t="s">
        <v>41</v>
      </c>
      <c r="I107" t="s">
        <v>40</v>
      </c>
      <c r="J107" t="s">
        <v>40</v>
      </c>
      <c r="K107">
        <v>0</v>
      </c>
      <c r="L107">
        <v>0</v>
      </c>
      <c r="M107">
        <v>0</v>
      </c>
      <c r="N107">
        <v>0</v>
      </c>
      <c r="O107" t="s">
        <v>42</v>
      </c>
      <c r="P107" t="s">
        <v>43</v>
      </c>
      <c r="Q107" t="s">
        <v>40</v>
      </c>
      <c r="R107">
        <v>1179377</v>
      </c>
      <c r="S107" t="s">
        <v>44</v>
      </c>
      <c r="T107">
        <v>76</v>
      </c>
      <c r="U107" t="s">
        <v>85</v>
      </c>
      <c r="V107">
        <v>0</v>
      </c>
      <c r="W107">
        <v>0</v>
      </c>
      <c r="X107" t="s">
        <v>86</v>
      </c>
      <c r="Y107" t="s">
        <v>40</v>
      </c>
      <c r="Z107" t="s">
        <v>40</v>
      </c>
      <c r="AA107" t="s">
        <v>40</v>
      </c>
      <c r="AB107" t="s">
        <v>40</v>
      </c>
      <c r="AC107" t="s">
        <v>40</v>
      </c>
      <c r="AD107" t="s">
        <v>40</v>
      </c>
      <c r="AE107" t="s">
        <v>40</v>
      </c>
      <c r="AF107" t="s">
        <v>40</v>
      </c>
      <c r="AG107" s="1">
        <v>38244</v>
      </c>
      <c r="AH107">
        <v>2200</v>
      </c>
      <c r="AI107" t="s">
        <v>40</v>
      </c>
      <c r="AJ107" t="s">
        <v>40</v>
      </c>
      <c r="AK107" t="s">
        <v>40</v>
      </c>
      <c r="AL107" t="s">
        <v>40</v>
      </c>
      <c r="AN107" s="2" t="s">
        <v>135</v>
      </c>
      <c r="AO107">
        <v>190</v>
      </c>
    </row>
    <row r="108" spans="1:41" ht="409.6" x14ac:dyDescent="0.3">
      <c r="A108">
        <v>5420615</v>
      </c>
      <c r="B108" t="s">
        <v>87</v>
      </c>
      <c r="C108" t="str">
        <f>_xlfn.XLOOKUP(B108,Match!$A$2:$A$111,Match!$B$2:$B$111)</f>
        <v>Monroe, FL</v>
      </c>
      <c r="D108" t="str">
        <f>_xlfn.XLOOKUP(C108,Validation!$B$2:$B$68,Validation!$A$2:$A$68)</f>
        <v>12087</v>
      </c>
      <c r="E108" t="s">
        <v>40</v>
      </c>
      <c r="F108" s="1">
        <v>38242</v>
      </c>
      <c r="G108">
        <v>1000</v>
      </c>
      <c r="H108" t="s">
        <v>41</v>
      </c>
      <c r="I108" t="s">
        <v>40</v>
      </c>
      <c r="J108" t="s">
        <v>40</v>
      </c>
      <c r="K108">
        <v>0</v>
      </c>
      <c r="L108">
        <v>0</v>
      </c>
      <c r="M108">
        <v>0</v>
      </c>
      <c r="N108">
        <v>0</v>
      </c>
      <c r="O108" t="s">
        <v>42</v>
      </c>
      <c r="P108" t="s">
        <v>43</v>
      </c>
      <c r="Q108" t="s">
        <v>40</v>
      </c>
      <c r="R108">
        <v>1179377</v>
      </c>
      <c r="S108" t="s">
        <v>44</v>
      </c>
      <c r="T108">
        <v>77</v>
      </c>
      <c r="U108" t="s">
        <v>85</v>
      </c>
      <c r="V108">
        <v>0</v>
      </c>
      <c r="W108">
        <v>0</v>
      </c>
      <c r="X108" t="s">
        <v>86</v>
      </c>
      <c r="Y108" t="s">
        <v>40</v>
      </c>
      <c r="Z108" t="s">
        <v>40</v>
      </c>
      <c r="AA108" t="s">
        <v>40</v>
      </c>
      <c r="AB108" t="s">
        <v>40</v>
      </c>
      <c r="AC108" t="s">
        <v>40</v>
      </c>
      <c r="AD108" t="s">
        <v>40</v>
      </c>
      <c r="AE108" t="s">
        <v>40</v>
      </c>
      <c r="AF108" t="s">
        <v>40</v>
      </c>
      <c r="AG108" s="1">
        <v>38244</v>
      </c>
      <c r="AH108">
        <v>2200</v>
      </c>
      <c r="AI108" t="s">
        <v>40</v>
      </c>
      <c r="AJ108" t="s">
        <v>40</v>
      </c>
      <c r="AK108" t="s">
        <v>40</v>
      </c>
      <c r="AL108" t="s">
        <v>40</v>
      </c>
      <c r="AN108" s="2" t="s">
        <v>135</v>
      </c>
      <c r="AO108">
        <v>191</v>
      </c>
    </row>
    <row r="109" spans="1:41" x14ac:dyDescent="0.3">
      <c r="A109">
        <v>5422306</v>
      </c>
      <c r="B109" t="s">
        <v>136</v>
      </c>
      <c r="C109" t="str">
        <f>_xlfn.XLOOKUP(B109,Match!$A$2:$A$111,Match!$B$2:$B$111)</f>
        <v>Escambia, FL</v>
      </c>
      <c r="D109" t="str">
        <f>_xlfn.XLOOKUP(C109,Validation!$B$2:$B$68,Validation!$A$2:$A$68)</f>
        <v>12033</v>
      </c>
      <c r="E109" t="s">
        <v>40</v>
      </c>
      <c r="F109" s="1">
        <v>38243</v>
      </c>
      <c r="G109">
        <v>2100</v>
      </c>
      <c r="H109" t="s">
        <v>41</v>
      </c>
      <c r="I109" t="s">
        <v>40</v>
      </c>
      <c r="J109" t="s">
        <v>40</v>
      </c>
      <c r="K109">
        <v>0</v>
      </c>
      <c r="L109">
        <v>0</v>
      </c>
      <c r="M109">
        <v>0</v>
      </c>
      <c r="N109">
        <v>0</v>
      </c>
      <c r="O109" t="s">
        <v>42</v>
      </c>
      <c r="P109" t="s">
        <v>137</v>
      </c>
      <c r="Q109" t="s">
        <v>40</v>
      </c>
      <c r="R109">
        <v>1179851</v>
      </c>
      <c r="S109" t="s">
        <v>44</v>
      </c>
      <c r="T109">
        <v>1</v>
      </c>
      <c r="U109" t="s">
        <v>138</v>
      </c>
      <c r="V109">
        <v>0</v>
      </c>
      <c r="W109">
        <v>0</v>
      </c>
      <c r="X109" t="s">
        <v>86</v>
      </c>
      <c r="Y109" t="s">
        <v>40</v>
      </c>
      <c r="Z109" t="s">
        <v>40</v>
      </c>
      <c r="AA109" t="s">
        <v>40</v>
      </c>
      <c r="AB109" t="s">
        <v>40</v>
      </c>
      <c r="AC109" t="s">
        <v>40</v>
      </c>
      <c r="AD109" t="s">
        <v>40</v>
      </c>
      <c r="AE109" t="s">
        <v>40</v>
      </c>
      <c r="AF109" t="s">
        <v>40</v>
      </c>
      <c r="AG109" s="1">
        <v>38246</v>
      </c>
      <c r="AH109">
        <v>1500</v>
      </c>
      <c r="AI109" t="s">
        <v>40</v>
      </c>
      <c r="AJ109" t="s">
        <v>40</v>
      </c>
      <c r="AK109" t="s">
        <v>40</v>
      </c>
      <c r="AL109" t="s">
        <v>40</v>
      </c>
      <c r="AN109" t="s">
        <v>139</v>
      </c>
      <c r="AO109">
        <v>192</v>
      </c>
    </row>
    <row r="110" spans="1:41" x14ac:dyDescent="0.3">
      <c r="A110">
        <v>5422305</v>
      </c>
      <c r="B110" t="s">
        <v>140</v>
      </c>
      <c r="C110" t="str">
        <f>_xlfn.XLOOKUP(B110,Match!$A$2:$A$111,Match!$B$2:$B$111)</f>
        <v xml:space="preserve"> Santa Rosa, FL</v>
      </c>
      <c r="D110" t="e">
        <f>_xlfn.XLOOKUP(C110,Validation!$B$2:$B$68,Validation!$A$2:$A$68)</f>
        <v>#N/A</v>
      </c>
      <c r="E110" t="s">
        <v>40</v>
      </c>
      <c r="F110" s="1">
        <v>38243</v>
      </c>
      <c r="G110">
        <v>2100</v>
      </c>
      <c r="H110" t="s">
        <v>41</v>
      </c>
      <c r="I110" t="s">
        <v>40</v>
      </c>
      <c r="J110" t="s">
        <v>40</v>
      </c>
      <c r="K110">
        <v>1</v>
      </c>
      <c r="L110">
        <v>0</v>
      </c>
      <c r="M110">
        <v>0</v>
      </c>
      <c r="N110">
        <v>0</v>
      </c>
      <c r="O110" t="s">
        <v>42</v>
      </c>
      <c r="P110" t="s">
        <v>137</v>
      </c>
      <c r="Q110" t="s">
        <v>40</v>
      </c>
      <c r="R110">
        <v>1179851</v>
      </c>
      <c r="S110" t="s">
        <v>44</v>
      </c>
      <c r="T110">
        <v>4</v>
      </c>
      <c r="U110" t="s">
        <v>138</v>
      </c>
      <c r="V110">
        <v>0</v>
      </c>
      <c r="W110">
        <v>0</v>
      </c>
      <c r="X110" t="s">
        <v>86</v>
      </c>
      <c r="Y110" t="s">
        <v>40</v>
      </c>
      <c r="Z110" t="s">
        <v>40</v>
      </c>
      <c r="AA110" t="s">
        <v>40</v>
      </c>
      <c r="AB110" t="s">
        <v>40</v>
      </c>
      <c r="AC110" t="s">
        <v>40</v>
      </c>
      <c r="AD110" t="s">
        <v>40</v>
      </c>
      <c r="AE110" t="s">
        <v>40</v>
      </c>
      <c r="AF110" t="s">
        <v>40</v>
      </c>
      <c r="AG110" s="1">
        <v>38246</v>
      </c>
      <c r="AH110">
        <v>1500</v>
      </c>
      <c r="AI110" t="s">
        <v>40</v>
      </c>
      <c r="AJ110" t="s">
        <v>40</v>
      </c>
      <c r="AK110" t="s">
        <v>40</v>
      </c>
      <c r="AL110" t="s">
        <v>40</v>
      </c>
      <c r="AN110" t="s">
        <v>139</v>
      </c>
      <c r="AO110">
        <v>193</v>
      </c>
    </row>
    <row r="111" spans="1:41" x14ac:dyDescent="0.3">
      <c r="A111">
        <v>5422304</v>
      </c>
      <c r="B111" t="s">
        <v>141</v>
      </c>
      <c r="C111" t="str">
        <f>_xlfn.XLOOKUP(B111,Match!$A$2:$A$111,Match!$B$2:$B$111)</f>
        <v>Okaloosa, FL</v>
      </c>
      <c r="D111" t="str">
        <f>_xlfn.XLOOKUP(C111,Validation!$B$2:$B$68,Validation!$A$2:$A$68)</f>
        <v>12091</v>
      </c>
      <c r="E111" t="s">
        <v>40</v>
      </c>
      <c r="F111" s="1">
        <v>38243</v>
      </c>
      <c r="G111">
        <v>2100</v>
      </c>
      <c r="H111" t="s">
        <v>41</v>
      </c>
      <c r="I111" t="s">
        <v>40</v>
      </c>
      <c r="J111" t="s">
        <v>40</v>
      </c>
      <c r="K111">
        <v>0</v>
      </c>
      <c r="L111">
        <v>0</v>
      </c>
      <c r="M111">
        <v>0</v>
      </c>
      <c r="N111">
        <v>0</v>
      </c>
      <c r="O111" t="s">
        <v>42</v>
      </c>
      <c r="P111" t="s">
        <v>137</v>
      </c>
      <c r="Q111" t="s">
        <v>40</v>
      </c>
      <c r="R111">
        <v>1179851</v>
      </c>
      <c r="S111" t="s">
        <v>44</v>
      </c>
      <c r="T111">
        <v>6</v>
      </c>
      <c r="U111" t="s">
        <v>138</v>
      </c>
      <c r="V111">
        <v>0</v>
      </c>
      <c r="W111">
        <v>0</v>
      </c>
      <c r="X111" t="s">
        <v>86</v>
      </c>
      <c r="Y111" t="s">
        <v>40</v>
      </c>
      <c r="Z111" t="s">
        <v>40</v>
      </c>
      <c r="AA111" t="s">
        <v>40</v>
      </c>
      <c r="AB111" t="s">
        <v>40</v>
      </c>
      <c r="AC111" t="s">
        <v>40</v>
      </c>
      <c r="AD111" t="s">
        <v>40</v>
      </c>
      <c r="AE111" t="s">
        <v>40</v>
      </c>
      <c r="AF111" t="s">
        <v>40</v>
      </c>
      <c r="AG111" s="1">
        <v>38246</v>
      </c>
      <c r="AH111">
        <v>1500</v>
      </c>
      <c r="AI111" t="s">
        <v>40</v>
      </c>
      <c r="AJ111" t="s">
        <v>40</v>
      </c>
      <c r="AK111" t="s">
        <v>40</v>
      </c>
      <c r="AL111" t="s">
        <v>40</v>
      </c>
      <c r="AN111" t="s">
        <v>139</v>
      </c>
      <c r="AO111">
        <v>194</v>
      </c>
    </row>
    <row r="112" spans="1:41" x14ac:dyDescent="0.3">
      <c r="A112">
        <v>5422303</v>
      </c>
      <c r="B112" t="s">
        <v>142</v>
      </c>
      <c r="C112" t="str">
        <f>_xlfn.XLOOKUP(B112,Match!$A$2:$A$111,Match!$B$2:$B$111)</f>
        <v>Escambia, FL</v>
      </c>
      <c r="D112" t="str">
        <f>_xlfn.XLOOKUP(C112,Validation!$B$2:$B$68,Validation!$A$2:$A$68)</f>
        <v>12033</v>
      </c>
      <c r="E112" t="s">
        <v>40</v>
      </c>
      <c r="F112" s="1">
        <v>38243</v>
      </c>
      <c r="G112">
        <v>2100</v>
      </c>
      <c r="H112" t="s">
        <v>41</v>
      </c>
      <c r="I112" t="s">
        <v>40</v>
      </c>
      <c r="J112" t="s">
        <v>40</v>
      </c>
      <c r="K112">
        <v>6</v>
      </c>
      <c r="L112">
        <v>0</v>
      </c>
      <c r="M112">
        <v>4000000000</v>
      </c>
      <c r="N112">
        <v>25000000</v>
      </c>
      <c r="O112" t="s">
        <v>42</v>
      </c>
      <c r="P112" t="s">
        <v>137</v>
      </c>
      <c r="Q112" t="s">
        <v>40</v>
      </c>
      <c r="R112">
        <v>1179851</v>
      </c>
      <c r="S112" t="s">
        <v>44</v>
      </c>
      <c r="T112">
        <v>2</v>
      </c>
      <c r="U112" t="s">
        <v>138</v>
      </c>
      <c r="V112">
        <v>0</v>
      </c>
      <c r="W112">
        <v>0</v>
      </c>
      <c r="X112" t="s">
        <v>86</v>
      </c>
      <c r="Y112" t="s">
        <v>40</v>
      </c>
      <c r="Z112" t="s">
        <v>40</v>
      </c>
      <c r="AA112" t="s">
        <v>40</v>
      </c>
      <c r="AB112" t="s">
        <v>40</v>
      </c>
      <c r="AC112" t="s">
        <v>40</v>
      </c>
      <c r="AD112" t="s">
        <v>40</v>
      </c>
      <c r="AE112" t="s">
        <v>40</v>
      </c>
      <c r="AF112" t="s">
        <v>40</v>
      </c>
      <c r="AG112" s="1">
        <v>38246</v>
      </c>
      <c r="AH112">
        <v>1500</v>
      </c>
      <c r="AI112" t="s">
        <v>40</v>
      </c>
      <c r="AJ112" t="s">
        <v>40</v>
      </c>
      <c r="AK112" t="s">
        <v>40</v>
      </c>
      <c r="AL112" t="s">
        <v>40</v>
      </c>
      <c r="AN112" t="s">
        <v>139</v>
      </c>
      <c r="AO112">
        <v>195</v>
      </c>
    </row>
    <row r="113" spans="1:41" x14ac:dyDescent="0.3">
      <c r="A113">
        <v>5422308</v>
      </c>
      <c r="B113" t="s">
        <v>143</v>
      </c>
      <c r="C113" t="str">
        <f>_xlfn.XLOOKUP(B113,Match!$A$2:$A$111,Match!$B$2:$B$111)</f>
        <v>Santa Rosa, FL</v>
      </c>
      <c r="D113" t="str">
        <f>_xlfn.XLOOKUP(C113,Validation!$B$2:$B$68,Validation!$A$2:$A$68)</f>
        <v>12113</v>
      </c>
      <c r="E113" t="s">
        <v>40</v>
      </c>
      <c r="F113" s="1">
        <v>38243</v>
      </c>
      <c r="G113">
        <v>2100</v>
      </c>
      <c r="H113" t="s">
        <v>41</v>
      </c>
      <c r="I113" t="s">
        <v>40</v>
      </c>
      <c r="J113" t="s">
        <v>40</v>
      </c>
      <c r="K113">
        <v>0</v>
      </c>
      <c r="L113">
        <v>0</v>
      </c>
      <c r="M113">
        <v>0</v>
      </c>
      <c r="N113">
        <v>0</v>
      </c>
      <c r="O113" t="s">
        <v>42</v>
      </c>
      <c r="P113" t="s">
        <v>137</v>
      </c>
      <c r="Q113" t="s">
        <v>40</v>
      </c>
      <c r="R113">
        <v>1179851</v>
      </c>
      <c r="S113" t="s">
        <v>44</v>
      </c>
      <c r="T113">
        <v>3</v>
      </c>
      <c r="U113" t="s">
        <v>138</v>
      </c>
      <c r="V113">
        <v>0</v>
      </c>
      <c r="W113">
        <v>0</v>
      </c>
      <c r="X113" t="s">
        <v>86</v>
      </c>
      <c r="Y113" t="s">
        <v>40</v>
      </c>
      <c r="Z113" t="s">
        <v>40</v>
      </c>
      <c r="AA113" t="s">
        <v>40</v>
      </c>
      <c r="AB113" t="s">
        <v>40</v>
      </c>
      <c r="AC113" t="s">
        <v>40</v>
      </c>
      <c r="AD113" t="s">
        <v>40</v>
      </c>
      <c r="AE113" t="s">
        <v>40</v>
      </c>
      <c r="AF113" t="s">
        <v>40</v>
      </c>
      <c r="AG113" s="1">
        <v>38246</v>
      </c>
      <c r="AH113">
        <v>1500</v>
      </c>
      <c r="AI113" t="s">
        <v>40</v>
      </c>
      <c r="AJ113" t="s">
        <v>40</v>
      </c>
      <c r="AK113" t="s">
        <v>40</v>
      </c>
      <c r="AL113" t="s">
        <v>40</v>
      </c>
      <c r="AN113" t="s">
        <v>139</v>
      </c>
      <c r="AO113">
        <v>196</v>
      </c>
    </row>
    <row r="114" spans="1:41" x14ac:dyDescent="0.3">
      <c r="A114">
        <v>5422307</v>
      </c>
      <c r="B114" t="s">
        <v>144</v>
      </c>
      <c r="C114" t="str">
        <f>_xlfn.XLOOKUP(B114,Match!$A$2:$A$111,Match!$B$2:$B$111)</f>
        <v>Okaloosa, FL</v>
      </c>
      <c r="D114" t="str">
        <f>_xlfn.XLOOKUP(C114,Validation!$B$2:$B$68,Validation!$A$2:$A$68)</f>
        <v>12091</v>
      </c>
      <c r="E114" t="s">
        <v>40</v>
      </c>
      <c r="F114" s="1">
        <v>38243</v>
      </c>
      <c r="G114">
        <v>2100</v>
      </c>
      <c r="H114" t="s">
        <v>41</v>
      </c>
      <c r="I114" t="s">
        <v>40</v>
      </c>
      <c r="J114" t="s">
        <v>40</v>
      </c>
      <c r="K114">
        <v>0</v>
      </c>
      <c r="L114">
        <v>0</v>
      </c>
      <c r="M114">
        <v>0</v>
      </c>
      <c r="N114">
        <v>0</v>
      </c>
      <c r="O114" t="s">
        <v>42</v>
      </c>
      <c r="P114" t="s">
        <v>137</v>
      </c>
      <c r="Q114" t="s">
        <v>40</v>
      </c>
      <c r="R114">
        <v>1179851</v>
      </c>
      <c r="S114" t="s">
        <v>44</v>
      </c>
      <c r="T114">
        <v>5</v>
      </c>
      <c r="U114" t="s">
        <v>138</v>
      </c>
      <c r="V114">
        <v>0</v>
      </c>
      <c r="W114">
        <v>0</v>
      </c>
      <c r="X114" t="s">
        <v>86</v>
      </c>
      <c r="Y114" t="s">
        <v>40</v>
      </c>
      <c r="Z114" t="s">
        <v>40</v>
      </c>
      <c r="AA114" t="s">
        <v>40</v>
      </c>
      <c r="AB114" t="s">
        <v>40</v>
      </c>
      <c r="AC114" t="s">
        <v>40</v>
      </c>
      <c r="AD114" t="s">
        <v>40</v>
      </c>
      <c r="AE114" t="s">
        <v>40</v>
      </c>
      <c r="AF114" t="s">
        <v>40</v>
      </c>
      <c r="AG114" s="1">
        <v>38246</v>
      </c>
      <c r="AH114">
        <v>1500</v>
      </c>
      <c r="AI114" t="s">
        <v>40</v>
      </c>
      <c r="AJ114" t="s">
        <v>40</v>
      </c>
      <c r="AK114" t="s">
        <v>40</v>
      </c>
      <c r="AL114" t="s">
        <v>40</v>
      </c>
      <c r="AN114" t="s">
        <v>139</v>
      </c>
      <c r="AO114">
        <v>197</v>
      </c>
    </row>
    <row r="115" spans="1:41" x14ac:dyDescent="0.3">
      <c r="A115">
        <v>5423055</v>
      </c>
      <c r="B115" t="s">
        <v>145</v>
      </c>
      <c r="C115" t="str">
        <f>_xlfn.XLOOKUP(B115,Match!$A$2:$A$111,Match!$B$2:$B$111)</f>
        <v>Bay, FL</v>
      </c>
      <c r="D115" t="str">
        <f>_xlfn.XLOOKUP(C115,Validation!$B$2:$B$68,Validation!$A$2:$A$68)</f>
        <v>12005</v>
      </c>
      <c r="E115" t="s">
        <v>40</v>
      </c>
      <c r="F115" s="1">
        <v>38245</v>
      </c>
      <c r="G115">
        <v>0</v>
      </c>
      <c r="H115" t="s">
        <v>41</v>
      </c>
      <c r="I115" t="s">
        <v>40</v>
      </c>
      <c r="J115" t="s">
        <v>40</v>
      </c>
      <c r="K115">
        <v>2</v>
      </c>
      <c r="L115">
        <v>8</v>
      </c>
      <c r="M115">
        <v>25000000</v>
      </c>
      <c r="N115">
        <v>0</v>
      </c>
      <c r="O115" t="s">
        <v>42</v>
      </c>
      <c r="P115" t="s">
        <v>43</v>
      </c>
      <c r="Q115" t="s">
        <v>40</v>
      </c>
      <c r="R115">
        <v>1180476</v>
      </c>
      <c r="S115" t="s">
        <v>44</v>
      </c>
      <c r="T115">
        <v>12</v>
      </c>
      <c r="U115" t="s">
        <v>106</v>
      </c>
      <c r="V115">
        <v>0</v>
      </c>
      <c r="W115">
        <v>0</v>
      </c>
      <c r="X115" t="s">
        <v>67</v>
      </c>
      <c r="Y115" t="s">
        <v>40</v>
      </c>
      <c r="Z115" t="s">
        <v>40</v>
      </c>
      <c r="AA115" t="s">
        <v>40</v>
      </c>
      <c r="AB115" t="s">
        <v>40</v>
      </c>
      <c r="AC115" t="s">
        <v>40</v>
      </c>
      <c r="AD115" t="s">
        <v>40</v>
      </c>
      <c r="AE115" t="s">
        <v>40</v>
      </c>
      <c r="AF115" t="s">
        <v>40</v>
      </c>
      <c r="AG115" s="1">
        <v>38246</v>
      </c>
      <c r="AH115">
        <v>2100</v>
      </c>
      <c r="AI115" t="s">
        <v>40</v>
      </c>
      <c r="AJ115" t="s">
        <v>40</v>
      </c>
      <c r="AK115" t="s">
        <v>40</v>
      </c>
      <c r="AL115" t="s">
        <v>40</v>
      </c>
      <c r="AN115" t="s">
        <v>146</v>
      </c>
      <c r="AO115">
        <v>198</v>
      </c>
    </row>
    <row r="116" spans="1:41" x14ac:dyDescent="0.3">
      <c r="A116">
        <v>5423069</v>
      </c>
      <c r="B116" t="s">
        <v>114</v>
      </c>
      <c r="C116" t="str">
        <f>_xlfn.XLOOKUP(B116,Match!$A$2:$A$111,Match!$B$2:$B$111)</f>
        <v>Madison, FL</v>
      </c>
      <c r="D116" t="str">
        <f>_xlfn.XLOOKUP(C116,Validation!$B$2:$B$68,Validation!$A$2:$A$68)</f>
        <v>12079</v>
      </c>
      <c r="E116" t="s">
        <v>40</v>
      </c>
      <c r="F116" s="1">
        <v>38245</v>
      </c>
      <c r="G116">
        <v>0</v>
      </c>
      <c r="H116" t="s">
        <v>41</v>
      </c>
      <c r="I116" t="s">
        <v>40</v>
      </c>
      <c r="J116" t="s">
        <v>40</v>
      </c>
      <c r="K116">
        <v>0</v>
      </c>
      <c r="L116">
        <v>0</v>
      </c>
      <c r="M116">
        <v>25000</v>
      </c>
      <c r="N116">
        <v>0</v>
      </c>
      <c r="O116" t="s">
        <v>42</v>
      </c>
      <c r="P116" t="s">
        <v>43</v>
      </c>
      <c r="Q116" t="s">
        <v>40</v>
      </c>
      <c r="R116">
        <v>1180476</v>
      </c>
      <c r="S116" t="s">
        <v>44</v>
      </c>
      <c r="T116">
        <v>19</v>
      </c>
      <c r="U116" t="s">
        <v>106</v>
      </c>
      <c r="V116">
        <v>0</v>
      </c>
      <c r="W116">
        <v>0</v>
      </c>
      <c r="X116" t="s">
        <v>67</v>
      </c>
      <c r="Y116" t="s">
        <v>40</v>
      </c>
      <c r="Z116" t="s">
        <v>40</v>
      </c>
      <c r="AA116" t="s">
        <v>40</v>
      </c>
      <c r="AB116" t="s">
        <v>40</v>
      </c>
      <c r="AC116" t="s">
        <v>40</v>
      </c>
      <c r="AD116" t="s">
        <v>40</v>
      </c>
      <c r="AE116" t="s">
        <v>40</v>
      </c>
      <c r="AF116" t="s">
        <v>40</v>
      </c>
      <c r="AG116" s="1">
        <v>38246</v>
      </c>
      <c r="AH116">
        <v>2100</v>
      </c>
      <c r="AI116" t="s">
        <v>40</v>
      </c>
      <c r="AJ116" t="s">
        <v>40</v>
      </c>
      <c r="AK116" t="s">
        <v>40</v>
      </c>
      <c r="AL116" t="s">
        <v>40</v>
      </c>
      <c r="AN116" t="s">
        <v>146</v>
      </c>
      <c r="AO116">
        <v>199</v>
      </c>
    </row>
    <row r="117" spans="1:41" x14ac:dyDescent="0.3">
      <c r="A117">
        <v>5423063</v>
      </c>
      <c r="B117" t="s">
        <v>147</v>
      </c>
      <c r="C117" t="str">
        <f>_xlfn.XLOOKUP(B117,Match!$A$2:$A$111,Match!$B$2:$B$111)</f>
        <v>Walton, FL</v>
      </c>
      <c r="D117" t="str">
        <f>_xlfn.XLOOKUP(C117,Validation!$B$2:$B$68,Validation!$A$2:$A$68)</f>
        <v>12131</v>
      </c>
      <c r="E117" t="s">
        <v>40</v>
      </c>
      <c r="F117" s="1">
        <v>38245</v>
      </c>
      <c r="G117">
        <v>0</v>
      </c>
      <c r="H117" t="s">
        <v>41</v>
      </c>
      <c r="I117" t="s">
        <v>40</v>
      </c>
      <c r="J117" t="s">
        <v>40</v>
      </c>
      <c r="K117">
        <v>0</v>
      </c>
      <c r="L117">
        <v>0</v>
      </c>
      <c r="M117">
        <v>5000000</v>
      </c>
      <c r="N117">
        <v>0</v>
      </c>
      <c r="O117" t="s">
        <v>42</v>
      </c>
      <c r="P117" t="s">
        <v>43</v>
      </c>
      <c r="Q117" t="s">
        <v>40</v>
      </c>
      <c r="R117">
        <v>1180476</v>
      </c>
      <c r="S117" t="s">
        <v>44</v>
      </c>
      <c r="T117">
        <v>7</v>
      </c>
      <c r="U117" t="s">
        <v>106</v>
      </c>
      <c r="V117">
        <v>0</v>
      </c>
      <c r="W117">
        <v>0</v>
      </c>
      <c r="X117" t="s">
        <v>67</v>
      </c>
      <c r="Y117" t="s">
        <v>40</v>
      </c>
      <c r="Z117" t="s">
        <v>40</v>
      </c>
      <c r="AA117" t="s">
        <v>40</v>
      </c>
      <c r="AB117" t="s">
        <v>40</v>
      </c>
      <c r="AC117" t="s">
        <v>40</v>
      </c>
      <c r="AD117" t="s">
        <v>40</v>
      </c>
      <c r="AE117" t="s">
        <v>40</v>
      </c>
      <c r="AF117" t="s">
        <v>40</v>
      </c>
      <c r="AG117" s="1">
        <v>38246</v>
      </c>
      <c r="AH117">
        <v>2100</v>
      </c>
      <c r="AI117" t="s">
        <v>40</v>
      </c>
      <c r="AJ117" t="s">
        <v>40</v>
      </c>
      <c r="AK117" t="s">
        <v>40</v>
      </c>
      <c r="AL117" t="s">
        <v>40</v>
      </c>
      <c r="AN117" t="s">
        <v>146</v>
      </c>
      <c r="AO117">
        <v>200</v>
      </c>
    </row>
    <row r="118" spans="1:41" x14ac:dyDescent="0.3">
      <c r="A118">
        <v>5423070</v>
      </c>
      <c r="B118" t="s">
        <v>115</v>
      </c>
      <c r="C118" t="str">
        <f>_xlfn.XLOOKUP(B118,Match!$A$2:$A$111,Match!$B$2:$B$111)</f>
        <v>Taylor, FL</v>
      </c>
      <c r="D118" t="str">
        <f>_xlfn.XLOOKUP(C118,Validation!$B$2:$B$68,Validation!$A$2:$A$68)</f>
        <v>12123</v>
      </c>
      <c r="E118" t="s">
        <v>40</v>
      </c>
      <c r="F118" s="1">
        <v>38245</v>
      </c>
      <c r="G118">
        <v>0</v>
      </c>
      <c r="H118" t="s">
        <v>41</v>
      </c>
      <c r="I118" t="s">
        <v>40</v>
      </c>
      <c r="J118" t="s">
        <v>40</v>
      </c>
      <c r="K118">
        <v>0</v>
      </c>
      <c r="L118">
        <v>0</v>
      </c>
      <c r="M118">
        <v>50000</v>
      </c>
      <c r="N118">
        <v>0</v>
      </c>
      <c r="O118" t="s">
        <v>42</v>
      </c>
      <c r="P118" t="s">
        <v>43</v>
      </c>
      <c r="Q118" t="s">
        <v>40</v>
      </c>
      <c r="R118">
        <v>1180476</v>
      </c>
      <c r="S118" t="s">
        <v>44</v>
      </c>
      <c r="T118">
        <v>28</v>
      </c>
      <c r="U118" t="s">
        <v>106</v>
      </c>
      <c r="V118">
        <v>0</v>
      </c>
      <c r="W118">
        <v>0</v>
      </c>
      <c r="X118" t="s">
        <v>67</v>
      </c>
      <c r="Y118" t="s">
        <v>40</v>
      </c>
      <c r="Z118" t="s">
        <v>40</v>
      </c>
      <c r="AA118" t="s">
        <v>40</v>
      </c>
      <c r="AB118" t="s">
        <v>40</v>
      </c>
      <c r="AC118" t="s">
        <v>40</v>
      </c>
      <c r="AD118" t="s">
        <v>40</v>
      </c>
      <c r="AE118" t="s">
        <v>40</v>
      </c>
      <c r="AF118" t="s">
        <v>40</v>
      </c>
      <c r="AG118" s="1">
        <v>38246</v>
      </c>
      <c r="AH118">
        <v>2100</v>
      </c>
      <c r="AI118" t="s">
        <v>40</v>
      </c>
      <c r="AJ118" t="s">
        <v>40</v>
      </c>
      <c r="AK118" t="s">
        <v>40</v>
      </c>
      <c r="AL118" t="s">
        <v>40</v>
      </c>
      <c r="AN118" t="s">
        <v>146</v>
      </c>
      <c r="AO118">
        <v>201</v>
      </c>
    </row>
    <row r="119" spans="1:41" x14ac:dyDescent="0.3">
      <c r="A119">
        <v>5423058</v>
      </c>
      <c r="B119" t="s">
        <v>105</v>
      </c>
      <c r="C119" t="str">
        <f>_xlfn.XLOOKUP(B119,Match!$A$2:$A$111,Match!$B$2:$B$111)</f>
        <v>Dixie, FL</v>
      </c>
      <c r="D119" t="str">
        <f>_xlfn.XLOOKUP(C119,Validation!$B$2:$B$68,Validation!$A$2:$A$68)</f>
        <v>12029</v>
      </c>
      <c r="E119" t="s">
        <v>40</v>
      </c>
      <c r="F119" s="1">
        <v>38245</v>
      </c>
      <c r="G119">
        <v>0</v>
      </c>
      <c r="H119" t="s">
        <v>41</v>
      </c>
      <c r="I119" t="s">
        <v>40</v>
      </c>
      <c r="J119" t="s">
        <v>40</v>
      </c>
      <c r="K119">
        <v>0</v>
      </c>
      <c r="L119">
        <v>0</v>
      </c>
      <c r="M119">
        <v>50000</v>
      </c>
      <c r="N119">
        <v>0</v>
      </c>
      <c r="O119" t="s">
        <v>42</v>
      </c>
      <c r="P119" t="s">
        <v>43</v>
      </c>
      <c r="Q119" t="s">
        <v>40</v>
      </c>
      <c r="R119">
        <v>1180476</v>
      </c>
      <c r="S119" t="s">
        <v>44</v>
      </c>
      <c r="T119">
        <v>34</v>
      </c>
      <c r="U119" t="s">
        <v>106</v>
      </c>
      <c r="V119">
        <v>0</v>
      </c>
      <c r="W119">
        <v>0</v>
      </c>
      <c r="X119" t="s">
        <v>67</v>
      </c>
      <c r="Y119" t="s">
        <v>40</v>
      </c>
      <c r="Z119" t="s">
        <v>40</v>
      </c>
      <c r="AA119" t="s">
        <v>40</v>
      </c>
      <c r="AB119" t="s">
        <v>40</v>
      </c>
      <c r="AC119" t="s">
        <v>40</v>
      </c>
      <c r="AD119" t="s">
        <v>40</v>
      </c>
      <c r="AE119" t="s">
        <v>40</v>
      </c>
      <c r="AF119" t="s">
        <v>40</v>
      </c>
      <c r="AG119" s="1">
        <v>38246</v>
      </c>
      <c r="AH119">
        <v>2100</v>
      </c>
      <c r="AI119" t="s">
        <v>40</v>
      </c>
      <c r="AJ119" t="s">
        <v>40</v>
      </c>
      <c r="AK119" t="s">
        <v>40</v>
      </c>
      <c r="AL119" t="s">
        <v>40</v>
      </c>
      <c r="AN119" t="s">
        <v>146</v>
      </c>
      <c r="AO119">
        <v>202</v>
      </c>
    </row>
    <row r="120" spans="1:41" x14ac:dyDescent="0.3">
      <c r="A120">
        <v>5423062</v>
      </c>
      <c r="B120" t="s">
        <v>148</v>
      </c>
      <c r="C120" t="str">
        <f>_xlfn.XLOOKUP(B120,Match!$A$2:$A$111,Match!$B$2:$B$111)</f>
        <v>Holmes, FL</v>
      </c>
      <c r="D120" t="str">
        <f>_xlfn.XLOOKUP(C120,Validation!$B$2:$B$68,Validation!$A$2:$A$68)</f>
        <v>12059</v>
      </c>
      <c r="E120" t="s">
        <v>40</v>
      </c>
      <c r="F120" s="1">
        <v>38245</v>
      </c>
      <c r="G120">
        <v>0</v>
      </c>
      <c r="H120" t="s">
        <v>41</v>
      </c>
      <c r="I120" t="s">
        <v>40</v>
      </c>
      <c r="J120" t="s">
        <v>40</v>
      </c>
      <c r="K120">
        <v>0</v>
      </c>
      <c r="L120">
        <v>0</v>
      </c>
      <c r="M120">
        <v>500000</v>
      </c>
      <c r="N120">
        <v>0</v>
      </c>
      <c r="O120" t="s">
        <v>42</v>
      </c>
      <c r="P120" t="s">
        <v>43</v>
      </c>
      <c r="Q120" t="s">
        <v>40</v>
      </c>
      <c r="R120">
        <v>1180476</v>
      </c>
      <c r="S120" t="s">
        <v>44</v>
      </c>
      <c r="T120">
        <v>9</v>
      </c>
      <c r="U120" t="s">
        <v>106</v>
      </c>
      <c r="V120">
        <v>0</v>
      </c>
      <c r="W120">
        <v>0</v>
      </c>
      <c r="X120" t="s">
        <v>67</v>
      </c>
      <c r="Y120" t="s">
        <v>40</v>
      </c>
      <c r="Z120" t="s">
        <v>40</v>
      </c>
      <c r="AA120" t="s">
        <v>40</v>
      </c>
      <c r="AB120" t="s">
        <v>40</v>
      </c>
      <c r="AC120" t="s">
        <v>40</v>
      </c>
      <c r="AD120" t="s">
        <v>40</v>
      </c>
      <c r="AE120" t="s">
        <v>40</v>
      </c>
      <c r="AF120" t="s">
        <v>40</v>
      </c>
      <c r="AG120" s="1">
        <v>38246</v>
      </c>
      <c r="AH120">
        <v>2100</v>
      </c>
      <c r="AI120" t="s">
        <v>40</v>
      </c>
      <c r="AJ120" t="s">
        <v>40</v>
      </c>
      <c r="AK120" t="s">
        <v>40</v>
      </c>
      <c r="AL120" t="s">
        <v>40</v>
      </c>
      <c r="AN120" t="s">
        <v>146</v>
      </c>
      <c r="AO120">
        <v>203</v>
      </c>
    </row>
    <row r="121" spans="1:41" x14ac:dyDescent="0.3">
      <c r="A121">
        <v>5423061</v>
      </c>
      <c r="B121" t="s">
        <v>149</v>
      </c>
      <c r="C121" t="str">
        <f>_xlfn.XLOOKUP(B121,Match!$A$2:$A$111,Match!$B$2:$B$111)</f>
        <v>Gulf, FL</v>
      </c>
      <c r="D121" t="str">
        <f>_xlfn.XLOOKUP(C121,Validation!$B$2:$B$68,Validation!$A$2:$A$68)</f>
        <v>12045</v>
      </c>
      <c r="E121" t="s">
        <v>40</v>
      </c>
      <c r="F121" s="1">
        <v>38245</v>
      </c>
      <c r="G121">
        <v>0</v>
      </c>
      <c r="H121" t="s">
        <v>41</v>
      </c>
      <c r="I121" t="s">
        <v>40</v>
      </c>
      <c r="J121" t="s">
        <v>40</v>
      </c>
      <c r="K121">
        <v>0</v>
      </c>
      <c r="L121">
        <v>0</v>
      </c>
      <c r="M121">
        <v>30000000</v>
      </c>
      <c r="N121">
        <v>0</v>
      </c>
      <c r="O121" t="s">
        <v>42</v>
      </c>
      <c r="P121" t="s">
        <v>43</v>
      </c>
      <c r="Q121" t="s">
        <v>40</v>
      </c>
      <c r="R121">
        <v>1180476</v>
      </c>
      <c r="S121" t="s">
        <v>44</v>
      </c>
      <c r="T121">
        <v>14</v>
      </c>
      <c r="U121" t="s">
        <v>106</v>
      </c>
      <c r="V121">
        <v>0</v>
      </c>
      <c r="W121">
        <v>0</v>
      </c>
      <c r="X121" t="s">
        <v>67</v>
      </c>
      <c r="Y121" t="s">
        <v>40</v>
      </c>
      <c r="Z121" t="s">
        <v>40</v>
      </c>
      <c r="AA121" t="s">
        <v>40</v>
      </c>
      <c r="AB121" t="s">
        <v>40</v>
      </c>
      <c r="AC121" t="s">
        <v>40</v>
      </c>
      <c r="AD121" t="s">
        <v>40</v>
      </c>
      <c r="AE121" t="s">
        <v>40</v>
      </c>
      <c r="AF121" t="s">
        <v>40</v>
      </c>
      <c r="AG121" s="1">
        <v>38246</v>
      </c>
      <c r="AH121">
        <v>2100</v>
      </c>
      <c r="AI121" t="s">
        <v>40</v>
      </c>
      <c r="AJ121" t="s">
        <v>40</v>
      </c>
      <c r="AK121" t="s">
        <v>40</v>
      </c>
      <c r="AL121" t="s">
        <v>40</v>
      </c>
      <c r="AN121" t="s">
        <v>146</v>
      </c>
      <c r="AO121">
        <v>204</v>
      </c>
    </row>
    <row r="122" spans="1:41" x14ac:dyDescent="0.3">
      <c r="A122">
        <v>5423059</v>
      </c>
      <c r="B122" t="s">
        <v>107</v>
      </c>
      <c r="C122" t="str">
        <f>_xlfn.XLOOKUP(B122,Match!$A$2:$A$111,Match!$B$2:$B$111)</f>
        <v>Franklin, FL</v>
      </c>
      <c r="D122" t="str">
        <f>_xlfn.XLOOKUP(C122,Validation!$B$2:$B$68,Validation!$A$2:$A$68)</f>
        <v>12037</v>
      </c>
      <c r="E122" t="s">
        <v>40</v>
      </c>
      <c r="F122" s="1">
        <v>38245</v>
      </c>
      <c r="G122">
        <v>0</v>
      </c>
      <c r="H122" t="s">
        <v>41</v>
      </c>
      <c r="I122" t="s">
        <v>40</v>
      </c>
      <c r="J122" t="s">
        <v>40</v>
      </c>
      <c r="K122">
        <v>0</v>
      </c>
      <c r="L122">
        <v>0</v>
      </c>
      <c r="M122">
        <v>150000</v>
      </c>
      <c r="N122">
        <v>0</v>
      </c>
      <c r="O122" t="s">
        <v>42</v>
      </c>
      <c r="P122" t="s">
        <v>43</v>
      </c>
      <c r="Q122" t="s">
        <v>40</v>
      </c>
      <c r="R122">
        <v>1180476</v>
      </c>
      <c r="S122" t="s">
        <v>44</v>
      </c>
      <c r="T122">
        <v>15</v>
      </c>
      <c r="U122" t="s">
        <v>106</v>
      </c>
      <c r="V122">
        <v>0</v>
      </c>
      <c r="W122">
        <v>0</v>
      </c>
      <c r="X122" t="s">
        <v>67</v>
      </c>
      <c r="Y122" t="s">
        <v>40</v>
      </c>
      <c r="Z122" t="s">
        <v>40</v>
      </c>
      <c r="AA122" t="s">
        <v>40</v>
      </c>
      <c r="AB122" t="s">
        <v>40</v>
      </c>
      <c r="AC122" t="s">
        <v>40</v>
      </c>
      <c r="AD122" t="s">
        <v>40</v>
      </c>
      <c r="AE122" t="s">
        <v>40</v>
      </c>
      <c r="AF122" t="s">
        <v>40</v>
      </c>
      <c r="AG122" s="1">
        <v>38246</v>
      </c>
      <c r="AH122">
        <v>2100</v>
      </c>
      <c r="AI122" t="s">
        <v>40</v>
      </c>
      <c r="AJ122" t="s">
        <v>40</v>
      </c>
      <c r="AK122" t="s">
        <v>40</v>
      </c>
      <c r="AL122" t="s">
        <v>40</v>
      </c>
      <c r="AN122" t="s">
        <v>146</v>
      </c>
      <c r="AO122">
        <v>205</v>
      </c>
    </row>
    <row r="123" spans="1:41" x14ac:dyDescent="0.3">
      <c r="A123">
        <v>5423060</v>
      </c>
      <c r="B123" t="s">
        <v>109</v>
      </c>
      <c r="C123" t="str">
        <f>_xlfn.XLOOKUP(B123,Match!$A$2:$A$111,Match!$B$2:$B$111)</f>
        <v>Gadsden, FL</v>
      </c>
      <c r="D123" t="str">
        <f>_xlfn.XLOOKUP(C123,Validation!$B$2:$B$68,Validation!$A$2:$A$68)</f>
        <v>12039</v>
      </c>
      <c r="E123" t="s">
        <v>40</v>
      </c>
      <c r="F123" s="1">
        <v>38245</v>
      </c>
      <c r="G123">
        <v>0</v>
      </c>
      <c r="H123" t="s">
        <v>41</v>
      </c>
      <c r="I123" t="s">
        <v>40</v>
      </c>
      <c r="J123" t="s">
        <v>40</v>
      </c>
      <c r="K123">
        <v>0</v>
      </c>
      <c r="L123">
        <v>0</v>
      </c>
      <c r="M123">
        <v>50000</v>
      </c>
      <c r="N123">
        <v>0</v>
      </c>
      <c r="O123" t="s">
        <v>42</v>
      </c>
      <c r="P123" t="s">
        <v>43</v>
      </c>
      <c r="Q123" t="s">
        <v>40</v>
      </c>
      <c r="R123">
        <v>1180476</v>
      </c>
      <c r="S123" t="s">
        <v>44</v>
      </c>
      <c r="T123">
        <v>16</v>
      </c>
      <c r="U123" t="s">
        <v>106</v>
      </c>
      <c r="V123">
        <v>0</v>
      </c>
      <c r="W123">
        <v>0</v>
      </c>
      <c r="X123" t="s">
        <v>67</v>
      </c>
      <c r="Y123" t="s">
        <v>40</v>
      </c>
      <c r="Z123" t="s">
        <v>40</v>
      </c>
      <c r="AA123" t="s">
        <v>40</v>
      </c>
      <c r="AB123" t="s">
        <v>40</v>
      </c>
      <c r="AC123" t="s">
        <v>40</v>
      </c>
      <c r="AD123" t="s">
        <v>40</v>
      </c>
      <c r="AE123" t="s">
        <v>40</v>
      </c>
      <c r="AF123" t="s">
        <v>40</v>
      </c>
      <c r="AG123" s="1">
        <v>38246</v>
      </c>
      <c r="AH123">
        <v>2100</v>
      </c>
      <c r="AI123" t="s">
        <v>40</v>
      </c>
      <c r="AJ123" t="s">
        <v>40</v>
      </c>
      <c r="AK123" t="s">
        <v>40</v>
      </c>
      <c r="AL123" t="s">
        <v>40</v>
      </c>
      <c r="AN123" t="s">
        <v>146</v>
      </c>
      <c r="AO123">
        <v>206</v>
      </c>
    </row>
    <row r="124" spans="1:41" x14ac:dyDescent="0.3">
      <c r="A124">
        <v>5423072</v>
      </c>
      <c r="B124" t="s">
        <v>150</v>
      </c>
      <c r="C124" t="str">
        <f>_xlfn.XLOOKUP(B124,Match!$A$2:$A$111,Match!$B$2:$B$111)</f>
        <v>Washington, FL</v>
      </c>
      <c r="D124">
        <f>_xlfn.XLOOKUP(C124,Validation!$B$2:$B$68,Validation!$A$2:$A$68)</f>
        <v>12133</v>
      </c>
      <c r="E124" t="s">
        <v>40</v>
      </c>
      <c r="F124" s="1">
        <v>38245</v>
      </c>
      <c r="G124">
        <v>0</v>
      </c>
      <c r="H124" t="s">
        <v>41</v>
      </c>
      <c r="I124" t="s">
        <v>40</v>
      </c>
      <c r="J124" t="s">
        <v>40</v>
      </c>
      <c r="K124">
        <v>0</v>
      </c>
      <c r="L124">
        <v>0</v>
      </c>
      <c r="M124">
        <v>1500000</v>
      </c>
      <c r="N124">
        <v>0</v>
      </c>
      <c r="O124" t="s">
        <v>42</v>
      </c>
      <c r="P124" t="s">
        <v>43</v>
      </c>
      <c r="Q124" t="s">
        <v>40</v>
      </c>
      <c r="R124">
        <v>1180476</v>
      </c>
      <c r="S124" t="s">
        <v>44</v>
      </c>
      <c r="T124">
        <v>10</v>
      </c>
      <c r="U124" t="s">
        <v>106</v>
      </c>
      <c r="V124">
        <v>0</v>
      </c>
      <c r="W124">
        <v>0</v>
      </c>
      <c r="X124" t="s">
        <v>67</v>
      </c>
      <c r="Y124" t="s">
        <v>40</v>
      </c>
      <c r="Z124" t="s">
        <v>40</v>
      </c>
      <c r="AA124" t="s">
        <v>40</v>
      </c>
      <c r="AB124" t="s">
        <v>40</v>
      </c>
      <c r="AC124" t="s">
        <v>40</v>
      </c>
      <c r="AD124" t="s">
        <v>40</v>
      </c>
      <c r="AE124" t="s">
        <v>40</v>
      </c>
      <c r="AF124" t="s">
        <v>40</v>
      </c>
      <c r="AG124" s="1">
        <v>38246</v>
      </c>
      <c r="AH124">
        <v>2100</v>
      </c>
      <c r="AI124" t="s">
        <v>40</v>
      </c>
      <c r="AJ124" t="s">
        <v>40</v>
      </c>
      <c r="AK124" t="s">
        <v>40</v>
      </c>
      <c r="AL124" t="s">
        <v>40</v>
      </c>
      <c r="AN124" t="s">
        <v>146</v>
      </c>
      <c r="AO124">
        <v>207</v>
      </c>
    </row>
    <row r="125" spans="1:41" x14ac:dyDescent="0.3">
      <c r="A125">
        <v>5423064</v>
      </c>
      <c r="B125" t="s">
        <v>151</v>
      </c>
      <c r="C125" t="str">
        <f>_xlfn.XLOOKUP(B125,Match!$A$2:$A$111,Match!$B$2:$B$111)</f>
        <v>Jackson, FL</v>
      </c>
      <c r="D125" t="str">
        <f>_xlfn.XLOOKUP(C125,Validation!$B$2:$B$68,Validation!$A$2:$A$68)</f>
        <v>12063</v>
      </c>
      <c r="E125" t="s">
        <v>40</v>
      </c>
      <c r="F125" s="1">
        <v>38245</v>
      </c>
      <c r="G125">
        <v>0</v>
      </c>
      <c r="H125" t="s">
        <v>41</v>
      </c>
      <c r="I125" t="s">
        <v>40</v>
      </c>
      <c r="J125" t="s">
        <v>40</v>
      </c>
      <c r="K125">
        <v>0</v>
      </c>
      <c r="L125">
        <v>3</v>
      </c>
      <c r="M125">
        <v>5000000</v>
      </c>
      <c r="N125">
        <v>0</v>
      </c>
      <c r="O125" t="s">
        <v>42</v>
      </c>
      <c r="P125" t="s">
        <v>43</v>
      </c>
      <c r="Q125" t="s">
        <v>40</v>
      </c>
      <c r="R125">
        <v>1180476</v>
      </c>
      <c r="S125" t="s">
        <v>44</v>
      </c>
      <c r="T125">
        <v>11</v>
      </c>
      <c r="U125" t="s">
        <v>106</v>
      </c>
      <c r="V125">
        <v>0</v>
      </c>
      <c r="W125">
        <v>0</v>
      </c>
      <c r="X125" t="s">
        <v>67</v>
      </c>
      <c r="Y125" t="s">
        <v>40</v>
      </c>
      <c r="Z125" t="s">
        <v>40</v>
      </c>
      <c r="AA125" t="s">
        <v>40</v>
      </c>
      <c r="AB125" t="s">
        <v>40</v>
      </c>
      <c r="AC125" t="s">
        <v>40</v>
      </c>
      <c r="AD125" t="s">
        <v>40</v>
      </c>
      <c r="AE125" t="s">
        <v>40</v>
      </c>
      <c r="AF125" t="s">
        <v>40</v>
      </c>
      <c r="AG125" s="1">
        <v>38246</v>
      </c>
      <c r="AH125">
        <v>2100</v>
      </c>
      <c r="AI125" t="s">
        <v>40</v>
      </c>
      <c r="AJ125" t="s">
        <v>40</v>
      </c>
      <c r="AK125" t="s">
        <v>40</v>
      </c>
      <c r="AL125" t="s">
        <v>40</v>
      </c>
      <c r="AN125" t="s">
        <v>146</v>
      </c>
      <c r="AO125">
        <v>208</v>
      </c>
    </row>
    <row r="126" spans="1:41" x14ac:dyDescent="0.3">
      <c r="A126">
        <v>5423065</v>
      </c>
      <c r="B126" t="s">
        <v>110</v>
      </c>
      <c r="C126" t="str">
        <f>_xlfn.XLOOKUP(B126,Match!$A$2:$A$111,Match!$B$2:$B$111)</f>
        <v>Jefferson, FL</v>
      </c>
      <c r="D126" t="str">
        <f>_xlfn.XLOOKUP(C126,Validation!$B$2:$B$68,Validation!$A$2:$A$68)</f>
        <v>12065</v>
      </c>
      <c r="E126" t="s">
        <v>40</v>
      </c>
      <c r="F126" s="1">
        <v>38245</v>
      </c>
      <c r="G126">
        <v>0</v>
      </c>
      <c r="H126" t="s">
        <v>41</v>
      </c>
      <c r="I126" t="s">
        <v>40</v>
      </c>
      <c r="J126" t="s">
        <v>40</v>
      </c>
      <c r="K126">
        <v>0</v>
      </c>
      <c r="L126">
        <v>0</v>
      </c>
      <c r="M126">
        <v>100000</v>
      </c>
      <c r="N126">
        <v>0</v>
      </c>
      <c r="O126" t="s">
        <v>42</v>
      </c>
      <c r="P126" t="s">
        <v>43</v>
      </c>
      <c r="Q126" t="s">
        <v>40</v>
      </c>
      <c r="R126">
        <v>1180476</v>
      </c>
      <c r="S126" t="s">
        <v>44</v>
      </c>
      <c r="T126">
        <v>18</v>
      </c>
      <c r="U126" t="s">
        <v>106</v>
      </c>
      <c r="V126">
        <v>0</v>
      </c>
      <c r="W126">
        <v>0</v>
      </c>
      <c r="X126" t="s">
        <v>67</v>
      </c>
      <c r="Y126" t="s">
        <v>40</v>
      </c>
      <c r="Z126" t="s">
        <v>40</v>
      </c>
      <c r="AA126" t="s">
        <v>40</v>
      </c>
      <c r="AB126" t="s">
        <v>40</v>
      </c>
      <c r="AC126" t="s">
        <v>40</v>
      </c>
      <c r="AD126" t="s">
        <v>40</v>
      </c>
      <c r="AE126" t="s">
        <v>40</v>
      </c>
      <c r="AF126" t="s">
        <v>40</v>
      </c>
      <c r="AG126" s="1">
        <v>38246</v>
      </c>
      <c r="AH126">
        <v>2100</v>
      </c>
      <c r="AI126" t="s">
        <v>40</v>
      </c>
      <c r="AJ126" t="s">
        <v>40</v>
      </c>
      <c r="AK126" t="s">
        <v>40</v>
      </c>
      <c r="AL126" t="s">
        <v>40</v>
      </c>
      <c r="AN126" t="s">
        <v>146</v>
      </c>
      <c r="AO126">
        <v>209</v>
      </c>
    </row>
    <row r="127" spans="1:41" x14ac:dyDescent="0.3">
      <c r="A127">
        <v>5423056</v>
      </c>
      <c r="B127" t="s">
        <v>152</v>
      </c>
      <c r="C127" t="str">
        <f>_xlfn.XLOOKUP(B127,Match!$A$2:$A$111,Match!$B$2:$B$111)</f>
        <v>Calhoun, FL</v>
      </c>
      <c r="D127" t="str">
        <f>_xlfn.XLOOKUP(C127,Validation!$B$2:$B$68,Validation!$A$2:$A$68)</f>
        <v>12013</v>
      </c>
      <c r="E127" t="s">
        <v>40</v>
      </c>
      <c r="F127" s="1">
        <v>38245</v>
      </c>
      <c r="G127">
        <v>0</v>
      </c>
      <c r="H127" t="s">
        <v>41</v>
      </c>
      <c r="I127" t="s">
        <v>40</v>
      </c>
      <c r="J127" t="s">
        <v>40</v>
      </c>
      <c r="K127">
        <v>4</v>
      </c>
      <c r="L127">
        <v>5</v>
      </c>
      <c r="M127">
        <v>2500000</v>
      </c>
      <c r="N127">
        <v>0</v>
      </c>
      <c r="O127" t="s">
        <v>42</v>
      </c>
      <c r="P127" t="s">
        <v>43</v>
      </c>
      <c r="Q127" t="s">
        <v>40</v>
      </c>
      <c r="R127">
        <v>1180476</v>
      </c>
      <c r="S127" t="s">
        <v>44</v>
      </c>
      <c r="T127">
        <v>13</v>
      </c>
      <c r="U127" t="s">
        <v>106</v>
      </c>
      <c r="V127">
        <v>0</v>
      </c>
      <c r="W127">
        <v>0</v>
      </c>
      <c r="X127" t="s">
        <v>67</v>
      </c>
      <c r="Y127" t="s">
        <v>40</v>
      </c>
      <c r="Z127" t="s">
        <v>40</v>
      </c>
      <c r="AA127" t="s">
        <v>40</v>
      </c>
      <c r="AB127" t="s">
        <v>40</v>
      </c>
      <c r="AC127" t="s">
        <v>40</v>
      </c>
      <c r="AD127" t="s">
        <v>40</v>
      </c>
      <c r="AE127" t="s">
        <v>40</v>
      </c>
      <c r="AF127" t="s">
        <v>40</v>
      </c>
      <c r="AG127" s="1">
        <v>38246</v>
      </c>
      <c r="AH127">
        <v>2100</v>
      </c>
      <c r="AI127" t="s">
        <v>40</v>
      </c>
      <c r="AJ127" t="s">
        <v>40</v>
      </c>
      <c r="AK127" t="s">
        <v>40</v>
      </c>
      <c r="AL127" t="s">
        <v>40</v>
      </c>
      <c r="AN127" t="s">
        <v>146</v>
      </c>
      <c r="AO127">
        <v>210</v>
      </c>
    </row>
    <row r="128" spans="1:41" x14ac:dyDescent="0.3">
      <c r="A128">
        <v>5423067</v>
      </c>
      <c r="B128" t="s">
        <v>112</v>
      </c>
      <c r="C128" t="str">
        <f>_xlfn.XLOOKUP(B128,Match!$A$2:$A$111,Match!$B$2:$B$111)</f>
        <v>Leon, FL</v>
      </c>
      <c r="D128" t="str">
        <f>_xlfn.XLOOKUP(C128,Validation!$B$2:$B$68,Validation!$A$2:$A$68)</f>
        <v>12073</v>
      </c>
      <c r="E128" t="s">
        <v>40</v>
      </c>
      <c r="F128" s="1">
        <v>38245</v>
      </c>
      <c r="G128">
        <v>0</v>
      </c>
      <c r="H128" t="s">
        <v>41</v>
      </c>
      <c r="I128" t="s">
        <v>40</v>
      </c>
      <c r="J128" t="s">
        <v>40</v>
      </c>
      <c r="K128">
        <v>0</v>
      </c>
      <c r="L128">
        <v>0</v>
      </c>
      <c r="M128">
        <v>250000</v>
      </c>
      <c r="N128">
        <v>0</v>
      </c>
      <c r="O128" t="s">
        <v>42</v>
      </c>
      <c r="P128" t="s">
        <v>43</v>
      </c>
      <c r="Q128" t="s">
        <v>40</v>
      </c>
      <c r="R128">
        <v>1180476</v>
      </c>
      <c r="S128" t="s">
        <v>44</v>
      </c>
      <c r="T128">
        <v>17</v>
      </c>
      <c r="U128" t="s">
        <v>106</v>
      </c>
      <c r="V128">
        <v>0</v>
      </c>
      <c r="W128">
        <v>0</v>
      </c>
      <c r="X128" t="s">
        <v>67</v>
      </c>
      <c r="Y128" t="s">
        <v>40</v>
      </c>
      <c r="Z128" t="s">
        <v>40</v>
      </c>
      <c r="AA128" t="s">
        <v>40</v>
      </c>
      <c r="AB128" t="s">
        <v>40</v>
      </c>
      <c r="AC128" t="s">
        <v>40</v>
      </c>
      <c r="AD128" t="s">
        <v>40</v>
      </c>
      <c r="AE128" t="s">
        <v>40</v>
      </c>
      <c r="AF128" t="s">
        <v>40</v>
      </c>
      <c r="AG128" s="1">
        <v>38246</v>
      </c>
      <c r="AH128">
        <v>2100</v>
      </c>
      <c r="AI128" t="s">
        <v>40</v>
      </c>
      <c r="AJ128" t="s">
        <v>40</v>
      </c>
      <c r="AK128" t="s">
        <v>40</v>
      </c>
      <c r="AL128" t="s">
        <v>40</v>
      </c>
      <c r="AN128" t="s">
        <v>146</v>
      </c>
      <c r="AO128">
        <v>211</v>
      </c>
    </row>
    <row r="129" spans="1:41" x14ac:dyDescent="0.3">
      <c r="A129">
        <v>5423068</v>
      </c>
      <c r="B129" t="s">
        <v>113</v>
      </c>
      <c r="C129" t="str">
        <f>_xlfn.XLOOKUP(B129,Match!$A$2:$A$111,Match!$B$2:$B$111)</f>
        <v>Liberty, FL</v>
      </c>
      <c r="D129" t="str">
        <f>_xlfn.XLOOKUP(C129,Validation!$B$2:$B$68,Validation!$A$2:$A$68)</f>
        <v>12077</v>
      </c>
      <c r="E129" t="s">
        <v>40</v>
      </c>
      <c r="F129" s="1">
        <v>38245</v>
      </c>
      <c r="G129">
        <v>0</v>
      </c>
      <c r="H129" t="s">
        <v>41</v>
      </c>
      <c r="I129" t="s">
        <v>40</v>
      </c>
      <c r="J129" t="s">
        <v>40</v>
      </c>
      <c r="K129">
        <v>0</v>
      </c>
      <c r="L129">
        <v>0</v>
      </c>
      <c r="M129">
        <v>100000</v>
      </c>
      <c r="N129">
        <v>0</v>
      </c>
      <c r="O129" t="s">
        <v>42</v>
      </c>
      <c r="P129" t="s">
        <v>43</v>
      </c>
      <c r="Q129" t="s">
        <v>40</v>
      </c>
      <c r="R129">
        <v>1180476</v>
      </c>
      <c r="S129" t="s">
        <v>44</v>
      </c>
      <c r="T129">
        <v>26</v>
      </c>
      <c r="U129" t="s">
        <v>106</v>
      </c>
      <c r="V129">
        <v>0</v>
      </c>
      <c r="W129">
        <v>0</v>
      </c>
      <c r="X129" t="s">
        <v>67</v>
      </c>
      <c r="Y129" t="s">
        <v>40</v>
      </c>
      <c r="Z129" t="s">
        <v>40</v>
      </c>
      <c r="AA129" t="s">
        <v>40</v>
      </c>
      <c r="AB129" t="s">
        <v>40</v>
      </c>
      <c r="AC129" t="s">
        <v>40</v>
      </c>
      <c r="AD129" t="s">
        <v>40</v>
      </c>
      <c r="AE129" t="s">
        <v>40</v>
      </c>
      <c r="AF129" t="s">
        <v>40</v>
      </c>
      <c r="AG129" s="1">
        <v>38246</v>
      </c>
      <c r="AH129">
        <v>2100</v>
      </c>
      <c r="AI129" t="s">
        <v>40</v>
      </c>
      <c r="AJ129" t="s">
        <v>40</v>
      </c>
      <c r="AK129" t="s">
        <v>40</v>
      </c>
      <c r="AL129" t="s">
        <v>40</v>
      </c>
      <c r="AN129" t="s">
        <v>146</v>
      </c>
      <c r="AO129">
        <v>212</v>
      </c>
    </row>
    <row r="130" spans="1:41" x14ac:dyDescent="0.3">
      <c r="A130">
        <v>5423071</v>
      </c>
      <c r="B130" t="s">
        <v>116</v>
      </c>
      <c r="C130" t="str">
        <f>_xlfn.XLOOKUP(B130,Match!$A$2:$A$111,Match!$B$2:$B$111)</f>
        <v>Wakulla, FL</v>
      </c>
      <c r="D130" t="str">
        <f>_xlfn.XLOOKUP(C130,Validation!$B$2:$B$68,Validation!$A$2:$A$68)</f>
        <v>12129</v>
      </c>
      <c r="E130" t="s">
        <v>40</v>
      </c>
      <c r="F130" s="1">
        <v>38245</v>
      </c>
      <c r="G130">
        <v>0</v>
      </c>
      <c r="H130" t="s">
        <v>41</v>
      </c>
      <c r="I130" t="s">
        <v>40</v>
      </c>
      <c r="J130" t="s">
        <v>40</v>
      </c>
      <c r="K130">
        <v>0</v>
      </c>
      <c r="L130">
        <v>0</v>
      </c>
      <c r="M130">
        <v>150000</v>
      </c>
      <c r="N130">
        <v>0</v>
      </c>
      <c r="O130" t="s">
        <v>42</v>
      </c>
      <c r="P130" t="s">
        <v>43</v>
      </c>
      <c r="Q130" t="s">
        <v>40</v>
      </c>
      <c r="R130">
        <v>1180476</v>
      </c>
      <c r="S130" t="s">
        <v>44</v>
      </c>
      <c r="T130">
        <v>27</v>
      </c>
      <c r="U130" t="s">
        <v>106</v>
      </c>
      <c r="V130">
        <v>0</v>
      </c>
      <c r="W130">
        <v>0</v>
      </c>
      <c r="X130" t="s">
        <v>67</v>
      </c>
      <c r="Y130" t="s">
        <v>40</v>
      </c>
      <c r="Z130" t="s">
        <v>40</v>
      </c>
      <c r="AA130" t="s">
        <v>40</v>
      </c>
      <c r="AB130" t="s">
        <v>40</v>
      </c>
      <c r="AC130" t="s">
        <v>40</v>
      </c>
      <c r="AD130" t="s">
        <v>40</v>
      </c>
      <c r="AE130" t="s">
        <v>40</v>
      </c>
      <c r="AF130" t="s">
        <v>40</v>
      </c>
      <c r="AG130" s="1">
        <v>38246</v>
      </c>
      <c r="AH130">
        <v>2100</v>
      </c>
      <c r="AI130" t="s">
        <v>40</v>
      </c>
      <c r="AJ130" t="s">
        <v>40</v>
      </c>
      <c r="AK130" t="s">
        <v>40</v>
      </c>
      <c r="AL130" t="s">
        <v>40</v>
      </c>
      <c r="AN130" t="s">
        <v>146</v>
      </c>
      <c r="AO130">
        <v>213</v>
      </c>
    </row>
    <row r="131" spans="1:41" x14ac:dyDescent="0.3">
      <c r="A131">
        <v>5423066</v>
      </c>
      <c r="B131" t="s">
        <v>111</v>
      </c>
      <c r="C131" t="str">
        <f>_xlfn.XLOOKUP(B131,Match!$A$2:$A$111,Match!$B$2:$B$111)</f>
        <v>Lafayette, FL</v>
      </c>
      <c r="D131" t="str">
        <f>_xlfn.XLOOKUP(C131,Validation!$B$2:$B$68,Validation!$A$2:$A$68)</f>
        <v>12067</v>
      </c>
      <c r="E131" t="s">
        <v>40</v>
      </c>
      <c r="F131" s="1">
        <v>38245</v>
      </c>
      <c r="G131">
        <v>0</v>
      </c>
      <c r="H131" t="s">
        <v>41</v>
      </c>
      <c r="I131" t="s">
        <v>40</v>
      </c>
      <c r="J131" t="s">
        <v>40</v>
      </c>
      <c r="K131">
        <v>0</v>
      </c>
      <c r="L131">
        <v>0</v>
      </c>
      <c r="M131">
        <v>0</v>
      </c>
      <c r="N131">
        <v>0</v>
      </c>
      <c r="O131" t="s">
        <v>42</v>
      </c>
      <c r="P131" t="s">
        <v>43</v>
      </c>
      <c r="Q131" t="s">
        <v>40</v>
      </c>
      <c r="R131">
        <v>1180476</v>
      </c>
      <c r="S131" t="s">
        <v>44</v>
      </c>
      <c r="T131">
        <v>29</v>
      </c>
      <c r="U131" t="s">
        <v>106</v>
      </c>
      <c r="V131">
        <v>0</v>
      </c>
      <c r="W131">
        <v>0</v>
      </c>
      <c r="X131" t="s">
        <v>67</v>
      </c>
      <c r="Y131" t="s">
        <v>40</v>
      </c>
      <c r="Z131" t="s">
        <v>40</v>
      </c>
      <c r="AA131" t="s">
        <v>40</v>
      </c>
      <c r="AB131" t="s">
        <v>40</v>
      </c>
      <c r="AC131" t="s">
        <v>40</v>
      </c>
      <c r="AD131" t="s">
        <v>40</v>
      </c>
      <c r="AE131" t="s">
        <v>40</v>
      </c>
      <c r="AF131" t="s">
        <v>40</v>
      </c>
      <c r="AG131" s="1">
        <v>38246</v>
      </c>
      <c r="AH131">
        <v>2100</v>
      </c>
      <c r="AI131" t="s">
        <v>40</v>
      </c>
      <c r="AJ131" t="s">
        <v>40</v>
      </c>
      <c r="AK131" t="s">
        <v>40</v>
      </c>
      <c r="AL131" t="s">
        <v>40</v>
      </c>
      <c r="AN131" t="s">
        <v>146</v>
      </c>
      <c r="AO131">
        <v>214</v>
      </c>
    </row>
    <row r="132" spans="1:41" x14ac:dyDescent="0.3">
      <c r="A132">
        <v>5423057</v>
      </c>
      <c r="B132" t="s">
        <v>153</v>
      </c>
      <c r="C132" t="str">
        <f>_xlfn.XLOOKUP(B132,Match!$A$2:$A$111,Match!$B$2:$B$111)</f>
        <v>Walton, FL</v>
      </c>
      <c r="D132" t="str">
        <f>_xlfn.XLOOKUP(C132,Validation!$B$2:$B$68,Validation!$A$2:$A$68)</f>
        <v>12131</v>
      </c>
      <c r="E132" t="s">
        <v>40</v>
      </c>
      <c r="F132" s="1">
        <v>38245</v>
      </c>
      <c r="G132">
        <v>0</v>
      </c>
      <c r="H132" t="s">
        <v>41</v>
      </c>
      <c r="I132" t="s">
        <v>40</v>
      </c>
      <c r="J132" t="s">
        <v>40</v>
      </c>
      <c r="K132">
        <v>0</v>
      </c>
      <c r="L132">
        <v>0</v>
      </c>
      <c r="M132">
        <v>20000000</v>
      </c>
      <c r="N132">
        <v>0</v>
      </c>
      <c r="O132" t="s">
        <v>42</v>
      </c>
      <c r="P132" t="s">
        <v>43</v>
      </c>
      <c r="Q132" t="s">
        <v>40</v>
      </c>
      <c r="R132">
        <v>1180476</v>
      </c>
      <c r="S132" t="s">
        <v>44</v>
      </c>
      <c r="T132">
        <v>8</v>
      </c>
      <c r="U132" t="s">
        <v>106</v>
      </c>
      <c r="V132">
        <v>0</v>
      </c>
      <c r="W132">
        <v>0</v>
      </c>
      <c r="X132" t="s">
        <v>67</v>
      </c>
      <c r="Y132" t="s">
        <v>40</v>
      </c>
      <c r="Z132" t="s">
        <v>40</v>
      </c>
      <c r="AA132" t="s">
        <v>40</v>
      </c>
      <c r="AB132" t="s">
        <v>40</v>
      </c>
      <c r="AC132" t="s">
        <v>40</v>
      </c>
      <c r="AD132" t="s">
        <v>40</v>
      </c>
      <c r="AE132" t="s">
        <v>40</v>
      </c>
      <c r="AF132" t="s">
        <v>40</v>
      </c>
      <c r="AG132" s="1">
        <v>38246</v>
      </c>
      <c r="AH132">
        <v>2100</v>
      </c>
      <c r="AI132" t="s">
        <v>40</v>
      </c>
      <c r="AJ132" t="s">
        <v>40</v>
      </c>
      <c r="AK132" t="s">
        <v>40</v>
      </c>
      <c r="AL132" t="s">
        <v>40</v>
      </c>
      <c r="AN132" t="s">
        <v>146</v>
      </c>
      <c r="AO132">
        <v>215</v>
      </c>
    </row>
    <row r="133" spans="1:41" ht="409.6" x14ac:dyDescent="0.3">
      <c r="A133">
        <v>5420617</v>
      </c>
      <c r="B133" t="s">
        <v>84</v>
      </c>
      <c r="C133" t="str">
        <f>_xlfn.XLOOKUP(B133,Match!$A$2:$A$111,Match!$B$2:$B$111)</f>
        <v>Monroe, FL</v>
      </c>
      <c r="D133" t="str">
        <f>_xlfn.XLOOKUP(C133,Validation!$B$2:$B$68,Validation!$A$2:$A$68)</f>
        <v>12087</v>
      </c>
      <c r="E133" t="s">
        <v>40</v>
      </c>
      <c r="F133" s="1">
        <v>38254</v>
      </c>
      <c r="G133">
        <v>1600</v>
      </c>
      <c r="H133" t="s">
        <v>41</v>
      </c>
      <c r="I133" t="s">
        <v>40</v>
      </c>
      <c r="J133" t="s">
        <v>40</v>
      </c>
      <c r="K133">
        <v>0</v>
      </c>
      <c r="L133">
        <v>0</v>
      </c>
      <c r="M133">
        <v>0</v>
      </c>
      <c r="N133">
        <v>0</v>
      </c>
      <c r="O133" t="s">
        <v>42</v>
      </c>
      <c r="P133" t="s">
        <v>43</v>
      </c>
      <c r="Q133" t="s">
        <v>40</v>
      </c>
      <c r="R133">
        <v>1179378</v>
      </c>
      <c r="S133" t="s">
        <v>44</v>
      </c>
      <c r="T133">
        <v>78</v>
      </c>
      <c r="U133" t="s">
        <v>85</v>
      </c>
      <c r="V133">
        <v>0</v>
      </c>
      <c r="W133">
        <v>0</v>
      </c>
      <c r="X133" t="s">
        <v>86</v>
      </c>
      <c r="Y133" t="s">
        <v>40</v>
      </c>
      <c r="Z133" t="s">
        <v>40</v>
      </c>
      <c r="AA133" t="s">
        <v>40</v>
      </c>
      <c r="AB133" t="s">
        <v>40</v>
      </c>
      <c r="AC133" t="s">
        <v>40</v>
      </c>
      <c r="AD133" t="s">
        <v>40</v>
      </c>
      <c r="AE133" t="s">
        <v>40</v>
      </c>
      <c r="AF133" t="s">
        <v>40</v>
      </c>
      <c r="AG133" s="1">
        <v>38256</v>
      </c>
      <c r="AH133">
        <v>400</v>
      </c>
      <c r="AI133" t="s">
        <v>40</v>
      </c>
      <c r="AJ133" t="s">
        <v>40</v>
      </c>
      <c r="AK133" t="s">
        <v>40</v>
      </c>
      <c r="AL133" t="s">
        <v>40</v>
      </c>
      <c r="AN133" s="2" t="s">
        <v>154</v>
      </c>
      <c r="AO133">
        <v>216</v>
      </c>
    </row>
    <row r="134" spans="1:41" ht="409.6" x14ac:dyDescent="0.3">
      <c r="A134">
        <v>5420619</v>
      </c>
      <c r="B134" t="s">
        <v>88</v>
      </c>
      <c r="C134" t="str">
        <f>_xlfn.XLOOKUP(B134,Match!$A$2:$A$111,Match!$B$2:$B$111)</f>
        <v>Monroe, FL</v>
      </c>
      <c r="D134" t="str">
        <f>_xlfn.XLOOKUP(C134,Validation!$B$2:$B$68,Validation!$A$2:$A$68)</f>
        <v>12087</v>
      </c>
      <c r="E134" t="s">
        <v>40</v>
      </c>
      <c r="F134" s="1">
        <v>38254</v>
      </c>
      <c r="G134">
        <v>1600</v>
      </c>
      <c r="H134" t="s">
        <v>41</v>
      </c>
      <c r="I134" t="s">
        <v>40</v>
      </c>
      <c r="J134" t="s">
        <v>40</v>
      </c>
      <c r="K134">
        <v>0</v>
      </c>
      <c r="L134">
        <v>0</v>
      </c>
      <c r="M134">
        <v>5000</v>
      </c>
      <c r="N134">
        <v>0</v>
      </c>
      <c r="O134" t="s">
        <v>42</v>
      </c>
      <c r="P134" t="s">
        <v>43</v>
      </c>
      <c r="Q134" t="s">
        <v>40</v>
      </c>
      <c r="R134">
        <v>1179378</v>
      </c>
      <c r="S134" t="s">
        <v>44</v>
      </c>
      <c r="T134">
        <v>76</v>
      </c>
      <c r="U134" t="s">
        <v>85</v>
      </c>
      <c r="V134">
        <v>0</v>
      </c>
      <c r="W134">
        <v>0</v>
      </c>
      <c r="X134" t="s">
        <v>86</v>
      </c>
      <c r="Y134" t="s">
        <v>40</v>
      </c>
      <c r="Z134" t="s">
        <v>40</v>
      </c>
      <c r="AA134" t="s">
        <v>40</v>
      </c>
      <c r="AB134" t="s">
        <v>40</v>
      </c>
      <c r="AC134" t="s">
        <v>40</v>
      </c>
      <c r="AD134" t="s">
        <v>40</v>
      </c>
      <c r="AE134" t="s">
        <v>40</v>
      </c>
      <c r="AF134" t="s">
        <v>40</v>
      </c>
      <c r="AG134" s="1">
        <v>38256</v>
      </c>
      <c r="AH134">
        <v>400</v>
      </c>
      <c r="AI134" t="s">
        <v>40</v>
      </c>
      <c r="AJ134" t="s">
        <v>40</v>
      </c>
      <c r="AK134" t="s">
        <v>40</v>
      </c>
      <c r="AL134" t="s">
        <v>40</v>
      </c>
      <c r="AN134" s="2" t="s">
        <v>154</v>
      </c>
      <c r="AO134">
        <v>217</v>
      </c>
    </row>
    <row r="135" spans="1:41" ht="409.6" x14ac:dyDescent="0.3">
      <c r="A135">
        <v>5420618</v>
      </c>
      <c r="B135" t="s">
        <v>87</v>
      </c>
      <c r="C135" t="str">
        <f>_xlfn.XLOOKUP(B135,Match!$A$2:$A$111,Match!$B$2:$B$111)</f>
        <v>Monroe, FL</v>
      </c>
      <c r="D135" t="str">
        <f>_xlfn.XLOOKUP(C135,Validation!$B$2:$B$68,Validation!$A$2:$A$68)</f>
        <v>12087</v>
      </c>
      <c r="E135" t="s">
        <v>40</v>
      </c>
      <c r="F135" s="1">
        <v>38254</v>
      </c>
      <c r="G135">
        <v>1600</v>
      </c>
      <c r="H135" t="s">
        <v>41</v>
      </c>
      <c r="I135" t="s">
        <v>40</v>
      </c>
      <c r="J135" t="s">
        <v>40</v>
      </c>
      <c r="K135">
        <v>0</v>
      </c>
      <c r="L135">
        <v>0</v>
      </c>
      <c r="M135">
        <v>0</v>
      </c>
      <c r="N135">
        <v>0</v>
      </c>
      <c r="O135" t="s">
        <v>42</v>
      </c>
      <c r="P135" t="s">
        <v>43</v>
      </c>
      <c r="Q135" t="s">
        <v>40</v>
      </c>
      <c r="R135">
        <v>1179378</v>
      </c>
      <c r="S135" t="s">
        <v>44</v>
      </c>
      <c r="T135">
        <v>77</v>
      </c>
      <c r="U135" t="s">
        <v>85</v>
      </c>
      <c r="V135">
        <v>0</v>
      </c>
      <c r="W135">
        <v>0</v>
      </c>
      <c r="X135" t="s">
        <v>86</v>
      </c>
      <c r="Y135" t="s">
        <v>40</v>
      </c>
      <c r="Z135" t="s">
        <v>40</v>
      </c>
      <c r="AA135" t="s">
        <v>40</v>
      </c>
      <c r="AB135" t="s">
        <v>40</v>
      </c>
      <c r="AC135" t="s">
        <v>40</v>
      </c>
      <c r="AD135" t="s">
        <v>40</v>
      </c>
      <c r="AE135" t="s">
        <v>40</v>
      </c>
      <c r="AF135" t="s">
        <v>40</v>
      </c>
      <c r="AG135" s="1">
        <v>38256</v>
      </c>
      <c r="AH135">
        <v>400</v>
      </c>
      <c r="AI135" t="s">
        <v>40</v>
      </c>
      <c r="AJ135" t="s">
        <v>40</v>
      </c>
      <c r="AK135" t="s">
        <v>40</v>
      </c>
      <c r="AL135" t="s">
        <v>40</v>
      </c>
      <c r="AN135" s="2" t="s">
        <v>154</v>
      </c>
      <c r="AO135">
        <v>218</v>
      </c>
    </row>
    <row r="136" spans="1:41" ht="409.6" x14ac:dyDescent="0.3">
      <c r="A136">
        <v>5424597</v>
      </c>
      <c r="B136" t="s">
        <v>73</v>
      </c>
      <c r="C136" t="str">
        <f>_xlfn.XLOOKUP(B136,Match!$A$2:$A$111,Match!$B$2:$B$111)</f>
        <v>Volusia, FL</v>
      </c>
      <c r="D136" t="str">
        <f>_xlfn.XLOOKUP(C136,Validation!$B$2:$B$68,Validation!$A$2:$A$68)</f>
        <v>12127</v>
      </c>
      <c r="E136" t="s">
        <v>40</v>
      </c>
      <c r="F136" s="1">
        <v>38255</v>
      </c>
      <c r="G136">
        <v>140</v>
      </c>
      <c r="H136" t="s">
        <v>41</v>
      </c>
      <c r="I136" t="s">
        <v>40</v>
      </c>
      <c r="J136" t="s">
        <v>40</v>
      </c>
      <c r="K136">
        <v>0</v>
      </c>
      <c r="L136">
        <v>0</v>
      </c>
      <c r="M136">
        <v>59500000</v>
      </c>
      <c r="N136">
        <v>1000000</v>
      </c>
      <c r="O136" t="s">
        <v>42</v>
      </c>
      <c r="P136" t="s">
        <v>43</v>
      </c>
      <c r="Q136" t="s">
        <v>40</v>
      </c>
      <c r="R136">
        <v>1181037</v>
      </c>
      <c r="S136" t="s">
        <v>44</v>
      </c>
      <c r="T136">
        <v>41</v>
      </c>
      <c r="U136" t="s">
        <v>66</v>
      </c>
      <c r="V136">
        <v>0</v>
      </c>
      <c r="W136">
        <v>0</v>
      </c>
      <c r="X136" t="s">
        <v>67</v>
      </c>
      <c r="Y136" t="s">
        <v>40</v>
      </c>
      <c r="Z136" t="s">
        <v>40</v>
      </c>
      <c r="AA136" t="s">
        <v>40</v>
      </c>
      <c r="AB136" t="s">
        <v>40</v>
      </c>
      <c r="AC136" t="s">
        <v>40</v>
      </c>
      <c r="AD136" t="s">
        <v>40</v>
      </c>
      <c r="AE136" t="s">
        <v>40</v>
      </c>
      <c r="AF136" t="s">
        <v>40</v>
      </c>
      <c r="AG136" s="1">
        <v>38256</v>
      </c>
      <c r="AH136">
        <v>800</v>
      </c>
      <c r="AI136" t="s">
        <v>40</v>
      </c>
      <c r="AJ136" t="s">
        <v>40</v>
      </c>
      <c r="AK136" t="s">
        <v>40</v>
      </c>
      <c r="AL136" t="s">
        <v>40</v>
      </c>
      <c r="AN136" s="2" t="s">
        <v>155</v>
      </c>
      <c r="AO136">
        <v>219</v>
      </c>
    </row>
    <row r="137" spans="1:41" ht="409.6" x14ac:dyDescent="0.3">
      <c r="A137">
        <v>5422415</v>
      </c>
      <c r="B137" t="s">
        <v>39</v>
      </c>
      <c r="C137" t="str">
        <f>_xlfn.XLOOKUP(B137,Match!$A$2:$A$111,Match!$B$2:$B$111)</f>
        <v>Palm Beach, FL</v>
      </c>
      <c r="D137" t="str">
        <f>_xlfn.XLOOKUP(C137,Validation!$B$2:$B$68,Validation!$A$2:$A$68)</f>
        <v>12099</v>
      </c>
      <c r="E137" t="s">
        <v>40</v>
      </c>
      <c r="F137" s="1">
        <v>38255</v>
      </c>
      <c r="G137">
        <v>900</v>
      </c>
      <c r="H137" t="s">
        <v>41</v>
      </c>
      <c r="I137" t="s">
        <v>40</v>
      </c>
      <c r="J137" t="s">
        <v>40</v>
      </c>
      <c r="K137">
        <v>0</v>
      </c>
      <c r="L137">
        <v>0</v>
      </c>
      <c r="M137">
        <v>260000000</v>
      </c>
      <c r="N137">
        <v>0</v>
      </c>
      <c r="O137" t="s">
        <v>42</v>
      </c>
      <c r="P137" t="s">
        <v>43</v>
      </c>
      <c r="Q137" t="s">
        <v>40</v>
      </c>
      <c r="R137">
        <v>1179870</v>
      </c>
      <c r="S137" t="s">
        <v>44</v>
      </c>
      <c r="T137">
        <v>68</v>
      </c>
      <c r="U137" t="s">
        <v>45</v>
      </c>
      <c r="V137">
        <v>0</v>
      </c>
      <c r="W137">
        <v>0</v>
      </c>
      <c r="X137" t="s">
        <v>67</v>
      </c>
      <c r="Y137" t="s">
        <v>40</v>
      </c>
      <c r="Z137" t="s">
        <v>40</v>
      </c>
      <c r="AA137" t="s">
        <v>40</v>
      </c>
      <c r="AB137" t="s">
        <v>40</v>
      </c>
      <c r="AC137" t="s">
        <v>40</v>
      </c>
      <c r="AD137" t="s">
        <v>40</v>
      </c>
      <c r="AE137" t="s">
        <v>40</v>
      </c>
      <c r="AF137" t="s">
        <v>40</v>
      </c>
      <c r="AG137" s="1">
        <v>38256</v>
      </c>
      <c r="AH137">
        <v>900</v>
      </c>
      <c r="AI137" t="s">
        <v>40</v>
      </c>
      <c r="AJ137" t="s">
        <v>40</v>
      </c>
      <c r="AK137" t="s">
        <v>40</v>
      </c>
      <c r="AL137" t="s">
        <v>40</v>
      </c>
      <c r="AN137" s="2" t="s">
        <v>156</v>
      </c>
      <c r="AO137">
        <v>220</v>
      </c>
    </row>
    <row r="138" spans="1:41" ht="409.6" x14ac:dyDescent="0.3">
      <c r="A138">
        <v>5422416</v>
      </c>
      <c r="B138" t="s">
        <v>133</v>
      </c>
      <c r="C138" t="str">
        <f>_xlfn.XLOOKUP(B138,Match!$A$2:$A$111,Match!$B$2:$B$111)</f>
        <v>Palm Beach, FL</v>
      </c>
      <c r="D138" t="str">
        <f>_xlfn.XLOOKUP(C138,Validation!$B$2:$B$68,Validation!$A$2:$A$68)</f>
        <v>12099</v>
      </c>
      <c r="E138" t="s">
        <v>40</v>
      </c>
      <c r="F138" s="1">
        <v>38255</v>
      </c>
      <c r="G138">
        <v>900</v>
      </c>
      <c r="H138" t="s">
        <v>41</v>
      </c>
      <c r="I138" t="s">
        <v>40</v>
      </c>
      <c r="J138" t="s">
        <v>40</v>
      </c>
      <c r="K138">
        <v>0</v>
      </c>
      <c r="L138">
        <v>0</v>
      </c>
      <c r="M138">
        <v>0</v>
      </c>
      <c r="N138">
        <v>30000000</v>
      </c>
      <c r="O138" t="s">
        <v>42</v>
      </c>
      <c r="P138" t="s">
        <v>43</v>
      </c>
      <c r="Q138" t="s">
        <v>40</v>
      </c>
      <c r="R138">
        <v>1179870</v>
      </c>
      <c r="S138" t="s">
        <v>44</v>
      </c>
      <c r="T138">
        <v>67</v>
      </c>
      <c r="U138" t="s">
        <v>45</v>
      </c>
      <c r="V138">
        <v>0</v>
      </c>
      <c r="W138">
        <v>0</v>
      </c>
      <c r="X138" t="s">
        <v>67</v>
      </c>
      <c r="Y138" t="s">
        <v>40</v>
      </c>
      <c r="Z138" t="s">
        <v>40</v>
      </c>
      <c r="AA138" t="s">
        <v>40</v>
      </c>
      <c r="AB138" t="s">
        <v>40</v>
      </c>
      <c r="AC138" t="s">
        <v>40</v>
      </c>
      <c r="AD138" t="s">
        <v>40</v>
      </c>
      <c r="AE138" t="s">
        <v>40</v>
      </c>
      <c r="AF138" t="s">
        <v>40</v>
      </c>
      <c r="AG138" s="1">
        <v>38256</v>
      </c>
      <c r="AH138">
        <v>900</v>
      </c>
      <c r="AI138" t="s">
        <v>40</v>
      </c>
      <c r="AJ138" t="s">
        <v>40</v>
      </c>
      <c r="AK138" t="s">
        <v>40</v>
      </c>
      <c r="AL138" t="s">
        <v>40</v>
      </c>
      <c r="AN138" s="2" t="s">
        <v>156</v>
      </c>
      <c r="AO138">
        <v>221</v>
      </c>
    </row>
    <row r="139" spans="1:41" ht="409.6" x14ac:dyDescent="0.3">
      <c r="A139">
        <v>5422417</v>
      </c>
      <c r="B139" t="s">
        <v>52</v>
      </c>
      <c r="C139" t="str">
        <f>_xlfn.XLOOKUP(B139,Match!$A$2:$A$111,Match!$B$2:$B$111)</f>
        <v>Broward, FL</v>
      </c>
      <c r="D139" t="str">
        <f>_xlfn.XLOOKUP(C139,Validation!$B$2:$B$68,Validation!$A$2:$A$68)</f>
        <v>12011</v>
      </c>
      <c r="E139" t="s">
        <v>40</v>
      </c>
      <c r="F139" s="1">
        <v>38255</v>
      </c>
      <c r="G139">
        <v>900</v>
      </c>
      <c r="H139" t="s">
        <v>41</v>
      </c>
      <c r="I139" t="s">
        <v>40</v>
      </c>
      <c r="J139" t="s">
        <v>40</v>
      </c>
      <c r="K139">
        <v>0</v>
      </c>
      <c r="L139">
        <v>0</v>
      </c>
      <c r="M139">
        <v>50000000</v>
      </c>
      <c r="N139">
        <v>0</v>
      </c>
      <c r="O139" t="s">
        <v>42</v>
      </c>
      <c r="P139" t="s">
        <v>43</v>
      </c>
      <c r="Q139" t="s">
        <v>40</v>
      </c>
      <c r="R139">
        <v>1179870</v>
      </c>
      <c r="S139" t="s">
        <v>44</v>
      </c>
      <c r="T139">
        <v>72</v>
      </c>
      <c r="U139" t="s">
        <v>45</v>
      </c>
      <c r="V139">
        <v>0</v>
      </c>
      <c r="W139">
        <v>0</v>
      </c>
      <c r="X139" t="s">
        <v>67</v>
      </c>
      <c r="Y139" t="s">
        <v>40</v>
      </c>
      <c r="Z139" t="s">
        <v>40</v>
      </c>
      <c r="AA139" t="s">
        <v>40</v>
      </c>
      <c r="AB139" t="s">
        <v>40</v>
      </c>
      <c r="AC139" t="s">
        <v>40</v>
      </c>
      <c r="AD139" t="s">
        <v>40</v>
      </c>
      <c r="AE139" t="s">
        <v>40</v>
      </c>
      <c r="AF139" t="s">
        <v>40</v>
      </c>
      <c r="AG139" s="1">
        <v>38256</v>
      </c>
      <c r="AH139">
        <v>900</v>
      </c>
      <c r="AI139" t="s">
        <v>40</v>
      </c>
      <c r="AJ139" t="s">
        <v>40</v>
      </c>
      <c r="AK139" t="s">
        <v>40</v>
      </c>
      <c r="AL139" t="s">
        <v>40</v>
      </c>
      <c r="AN139" s="2" t="s">
        <v>156</v>
      </c>
      <c r="AO139">
        <v>222</v>
      </c>
    </row>
    <row r="140" spans="1:41" ht="409.6" x14ac:dyDescent="0.3">
      <c r="A140">
        <v>5422418</v>
      </c>
      <c r="B140" t="s">
        <v>48</v>
      </c>
      <c r="C140" t="str">
        <f>_xlfn.XLOOKUP(B140,Match!$A$2:$A$111,Match!$B$2:$B$111)</f>
        <v>Miami-Dade, FL</v>
      </c>
      <c r="D140" t="str">
        <f>_xlfn.XLOOKUP(C140,Validation!$B$2:$B$68,Validation!$A$2:$A$68)</f>
        <v>12086</v>
      </c>
      <c r="E140" t="s">
        <v>40</v>
      </c>
      <c r="F140" s="1">
        <v>38255</v>
      </c>
      <c r="G140">
        <v>900</v>
      </c>
      <c r="H140" t="s">
        <v>41</v>
      </c>
      <c r="I140" t="s">
        <v>40</v>
      </c>
      <c r="J140" t="s">
        <v>40</v>
      </c>
      <c r="K140">
        <v>0</v>
      </c>
      <c r="L140">
        <v>0</v>
      </c>
      <c r="M140">
        <v>10000000</v>
      </c>
      <c r="N140">
        <v>0</v>
      </c>
      <c r="O140" t="s">
        <v>42</v>
      </c>
      <c r="P140" t="s">
        <v>43</v>
      </c>
      <c r="Q140" t="s">
        <v>40</v>
      </c>
      <c r="R140">
        <v>1179870</v>
      </c>
      <c r="S140" t="s">
        <v>44</v>
      </c>
      <c r="T140">
        <v>74</v>
      </c>
      <c r="U140" t="s">
        <v>45</v>
      </c>
      <c r="V140">
        <v>0</v>
      </c>
      <c r="W140">
        <v>0</v>
      </c>
      <c r="X140" t="s">
        <v>67</v>
      </c>
      <c r="Y140" t="s">
        <v>40</v>
      </c>
      <c r="Z140" t="s">
        <v>40</v>
      </c>
      <c r="AA140" t="s">
        <v>40</v>
      </c>
      <c r="AB140" t="s">
        <v>40</v>
      </c>
      <c r="AC140" t="s">
        <v>40</v>
      </c>
      <c r="AD140" t="s">
        <v>40</v>
      </c>
      <c r="AE140" t="s">
        <v>40</v>
      </c>
      <c r="AF140" t="s">
        <v>40</v>
      </c>
      <c r="AG140" s="1">
        <v>38256</v>
      </c>
      <c r="AH140">
        <v>900</v>
      </c>
      <c r="AI140" t="s">
        <v>40</v>
      </c>
      <c r="AJ140" t="s">
        <v>40</v>
      </c>
      <c r="AK140" t="s">
        <v>40</v>
      </c>
      <c r="AL140" t="s">
        <v>40</v>
      </c>
      <c r="AN140" s="2" t="s">
        <v>156</v>
      </c>
      <c r="AO140">
        <v>223</v>
      </c>
    </row>
    <row r="141" spans="1:41" ht="409.6" x14ac:dyDescent="0.3">
      <c r="A141">
        <v>5422419</v>
      </c>
      <c r="B141" t="s">
        <v>124</v>
      </c>
      <c r="C141" t="str">
        <f>_xlfn.XLOOKUP(B141,Match!$A$2:$A$111,Match!$B$2:$B$111)</f>
        <v>Glades, FL</v>
      </c>
      <c r="D141" t="str">
        <f>_xlfn.XLOOKUP(C141,Validation!$B$2:$B$68,Validation!$A$2:$A$68)</f>
        <v>12043</v>
      </c>
      <c r="E141" t="s">
        <v>40</v>
      </c>
      <c r="F141" s="1">
        <v>38255</v>
      </c>
      <c r="G141">
        <v>900</v>
      </c>
      <c r="H141" t="s">
        <v>41</v>
      </c>
      <c r="I141" t="s">
        <v>40</v>
      </c>
      <c r="J141" t="s">
        <v>40</v>
      </c>
      <c r="K141">
        <v>0</v>
      </c>
      <c r="L141">
        <v>0</v>
      </c>
      <c r="M141">
        <v>2000000</v>
      </c>
      <c r="N141">
        <v>0</v>
      </c>
      <c r="O141" t="s">
        <v>42</v>
      </c>
      <c r="P141" t="s">
        <v>43</v>
      </c>
      <c r="Q141" t="s">
        <v>40</v>
      </c>
      <c r="R141">
        <v>1179870</v>
      </c>
      <c r="S141" t="s">
        <v>44</v>
      </c>
      <c r="T141">
        <v>63</v>
      </c>
      <c r="U141" t="s">
        <v>45</v>
      </c>
      <c r="V141">
        <v>0</v>
      </c>
      <c r="W141">
        <v>0</v>
      </c>
      <c r="X141" t="s">
        <v>67</v>
      </c>
      <c r="Y141" t="s">
        <v>40</v>
      </c>
      <c r="Z141" t="s">
        <v>40</v>
      </c>
      <c r="AA141" t="s">
        <v>40</v>
      </c>
      <c r="AB141" t="s">
        <v>40</v>
      </c>
      <c r="AC141" t="s">
        <v>40</v>
      </c>
      <c r="AD141" t="s">
        <v>40</v>
      </c>
      <c r="AE141" t="s">
        <v>40</v>
      </c>
      <c r="AF141" t="s">
        <v>40</v>
      </c>
      <c r="AG141" s="1">
        <v>38256</v>
      </c>
      <c r="AH141">
        <v>900</v>
      </c>
      <c r="AI141" t="s">
        <v>40</v>
      </c>
      <c r="AJ141" t="s">
        <v>40</v>
      </c>
      <c r="AK141" t="s">
        <v>40</v>
      </c>
      <c r="AL141" t="s">
        <v>40</v>
      </c>
      <c r="AN141" s="2" t="s">
        <v>156</v>
      </c>
      <c r="AO141">
        <v>224</v>
      </c>
    </row>
    <row r="142" spans="1:41" ht="409.6" x14ac:dyDescent="0.3">
      <c r="A142">
        <v>5422420</v>
      </c>
      <c r="B142" t="s">
        <v>123</v>
      </c>
      <c r="C142" t="str">
        <f>_xlfn.XLOOKUP(B142,Match!$A$2:$A$111,Match!$B$2:$B$111)</f>
        <v>Hendry, FL</v>
      </c>
      <c r="D142" t="str">
        <f>_xlfn.XLOOKUP(C142,Validation!$B$2:$B$68,Validation!$A$2:$A$68)</f>
        <v>12051</v>
      </c>
      <c r="E142" t="s">
        <v>40</v>
      </c>
      <c r="F142" s="1">
        <v>38255</v>
      </c>
      <c r="G142">
        <v>900</v>
      </c>
      <c r="H142" t="s">
        <v>41</v>
      </c>
      <c r="I142" t="s">
        <v>40</v>
      </c>
      <c r="J142" t="s">
        <v>40</v>
      </c>
      <c r="K142">
        <v>0</v>
      </c>
      <c r="L142">
        <v>0</v>
      </c>
      <c r="M142">
        <v>1000000</v>
      </c>
      <c r="N142">
        <v>0</v>
      </c>
      <c r="O142" t="s">
        <v>42</v>
      </c>
      <c r="P142" t="s">
        <v>43</v>
      </c>
      <c r="Q142" t="s">
        <v>40</v>
      </c>
      <c r="R142">
        <v>1179870</v>
      </c>
      <c r="S142" t="s">
        <v>44</v>
      </c>
      <c r="T142">
        <v>66</v>
      </c>
      <c r="U142" t="s">
        <v>45</v>
      </c>
      <c r="V142">
        <v>0</v>
      </c>
      <c r="W142">
        <v>0</v>
      </c>
      <c r="X142" t="s">
        <v>67</v>
      </c>
      <c r="Y142" t="s">
        <v>40</v>
      </c>
      <c r="Z142" t="s">
        <v>40</v>
      </c>
      <c r="AA142" t="s">
        <v>40</v>
      </c>
      <c r="AB142" t="s">
        <v>40</v>
      </c>
      <c r="AC142" t="s">
        <v>40</v>
      </c>
      <c r="AD142" t="s">
        <v>40</v>
      </c>
      <c r="AE142" t="s">
        <v>40</v>
      </c>
      <c r="AF142" t="s">
        <v>40</v>
      </c>
      <c r="AG142" s="1">
        <v>38256</v>
      </c>
      <c r="AH142">
        <v>900</v>
      </c>
      <c r="AI142" t="s">
        <v>40</v>
      </c>
      <c r="AJ142" t="s">
        <v>40</v>
      </c>
      <c r="AK142" t="s">
        <v>40</v>
      </c>
      <c r="AL142" t="s">
        <v>40</v>
      </c>
      <c r="AN142" s="2" t="s">
        <v>156</v>
      </c>
      <c r="AO142">
        <v>225</v>
      </c>
    </row>
    <row r="143" spans="1:41" ht="409.6" x14ac:dyDescent="0.3">
      <c r="A143">
        <v>5424593</v>
      </c>
      <c r="B143" t="s">
        <v>91</v>
      </c>
      <c r="C143" t="str">
        <f>_xlfn.XLOOKUP(B143,Match!$A$2:$A$111,Match!$B$2:$B$111)</f>
        <v>Martin, FL</v>
      </c>
      <c r="D143" t="str">
        <f>_xlfn.XLOOKUP(C143,Validation!$B$2:$B$68,Validation!$A$2:$A$68)</f>
        <v>12085</v>
      </c>
      <c r="E143" t="s">
        <v>40</v>
      </c>
      <c r="F143" s="1">
        <v>38255</v>
      </c>
      <c r="G143">
        <v>2014</v>
      </c>
      <c r="H143" t="s">
        <v>41</v>
      </c>
      <c r="I143" t="s">
        <v>40</v>
      </c>
      <c r="J143" t="s">
        <v>40</v>
      </c>
      <c r="K143">
        <v>0</v>
      </c>
      <c r="L143">
        <v>0</v>
      </c>
      <c r="M143">
        <v>0</v>
      </c>
      <c r="N143">
        <v>0</v>
      </c>
      <c r="O143" t="s">
        <v>42</v>
      </c>
      <c r="P143" t="s">
        <v>43</v>
      </c>
      <c r="Q143" t="s">
        <v>40</v>
      </c>
      <c r="R143">
        <v>1181037</v>
      </c>
      <c r="S143" t="s">
        <v>44</v>
      </c>
      <c r="T143">
        <v>64</v>
      </c>
      <c r="U143" t="s">
        <v>66</v>
      </c>
      <c r="V143">
        <v>0</v>
      </c>
      <c r="W143">
        <v>0</v>
      </c>
      <c r="X143" t="s">
        <v>46</v>
      </c>
      <c r="Y143" t="s">
        <v>40</v>
      </c>
      <c r="Z143" t="s">
        <v>40</v>
      </c>
      <c r="AA143" t="s">
        <v>40</v>
      </c>
      <c r="AB143" t="s">
        <v>40</v>
      </c>
      <c r="AC143" t="s">
        <v>40</v>
      </c>
      <c r="AD143" t="s">
        <v>40</v>
      </c>
      <c r="AE143" t="s">
        <v>40</v>
      </c>
      <c r="AF143" t="s">
        <v>40</v>
      </c>
      <c r="AG143" s="1">
        <v>38256</v>
      </c>
      <c r="AH143">
        <v>500</v>
      </c>
      <c r="AI143" t="s">
        <v>40</v>
      </c>
      <c r="AJ143" t="s">
        <v>40</v>
      </c>
      <c r="AK143" t="s">
        <v>40</v>
      </c>
      <c r="AL143" t="s">
        <v>40</v>
      </c>
      <c r="AN143" s="2" t="s">
        <v>155</v>
      </c>
      <c r="AO143">
        <v>226</v>
      </c>
    </row>
    <row r="144" spans="1:41" ht="409.6" x14ac:dyDescent="0.3">
      <c r="A144">
        <v>5424594</v>
      </c>
      <c r="B144" t="s">
        <v>65</v>
      </c>
      <c r="C144" t="str">
        <f>_xlfn.XLOOKUP(B144,Match!$A$2:$A$111,Match!$B$2:$B$111)</f>
        <v>St. Lucie, FL</v>
      </c>
      <c r="D144" t="str">
        <f>_xlfn.XLOOKUP(C144,Validation!$B$2:$B$68,Validation!$A$2:$A$68)</f>
        <v>12111</v>
      </c>
      <c r="E144" t="s">
        <v>40</v>
      </c>
      <c r="F144" s="1">
        <v>38255</v>
      </c>
      <c r="G144">
        <v>2014</v>
      </c>
      <c r="H144" t="s">
        <v>41</v>
      </c>
      <c r="I144" t="s">
        <v>40</v>
      </c>
      <c r="J144" t="s">
        <v>40</v>
      </c>
      <c r="K144">
        <v>0</v>
      </c>
      <c r="L144">
        <v>0</v>
      </c>
      <c r="M144">
        <v>0</v>
      </c>
      <c r="N144">
        <v>0</v>
      </c>
      <c r="O144" t="s">
        <v>42</v>
      </c>
      <c r="P144" t="s">
        <v>43</v>
      </c>
      <c r="Q144" t="s">
        <v>40</v>
      </c>
      <c r="R144">
        <v>1181037</v>
      </c>
      <c r="S144" t="s">
        <v>44</v>
      </c>
      <c r="T144">
        <v>59</v>
      </c>
      <c r="U144" t="s">
        <v>66</v>
      </c>
      <c r="V144">
        <v>0</v>
      </c>
      <c r="W144">
        <v>0</v>
      </c>
      <c r="X144" t="s">
        <v>46</v>
      </c>
      <c r="Y144" t="s">
        <v>40</v>
      </c>
      <c r="Z144" t="s">
        <v>40</v>
      </c>
      <c r="AA144" t="s">
        <v>40</v>
      </c>
      <c r="AB144" t="s">
        <v>40</v>
      </c>
      <c r="AC144" t="s">
        <v>40</v>
      </c>
      <c r="AD144" t="s">
        <v>40</v>
      </c>
      <c r="AE144" t="s">
        <v>40</v>
      </c>
      <c r="AF144" t="s">
        <v>40</v>
      </c>
      <c r="AG144" s="1">
        <v>38256</v>
      </c>
      <c r="AH144">
        <v>500</v>
      </c>
      <c r="AI144" t="s">
        <v>40</v>
      </c>
      <c r="AJ144" t="s">
        <v>40</v>
      </c>
      <c r="AK144" t="s">
        <v>40</v>
      </c>
      <c r="AL144" t="s">
        <v>40</v>
      </c>
      <c r="AN144" s="2" t="s">
        <v>155</v>
      </c>
      <c r="AO144">
        <v>227</v>
      </c>
    </row>
    <row r="145" spans="1:41" ht="409.6" x14ac:dyDescent="0.3">
      <c r="A145">
        <v>5424595</v>
      </c>
      <c r="B145" t="s">
        <v>71</v>
      </c>
      <c r="C145" t="str">
        <f>_xlfn.XLOOKUP(B145,Match!$A$2:$A$111,Match!$B$2:$B$111)</f>
        <v>Indian River, FL</v>
      </c>
      <c r="D145" t="str">
        <f>_xlfn.XLOOKUP(C145,Validation!$B$2:$B$68,Validation!$A$2:$A$68)</f>
        <v>12061</v>
      </c>
      <c r="E145" t="s">
        <v>40</v>
      </c>
      <c r="F145" s="1">
        <v>38255</v>
      </c>
      <c r="G145">
        <v>2039</v>
      </c>
      <c r="H145" t="s">
        <v>41</v>
      </c>
      <c r="I145" t="s">
        <v>40</v>
      </c>
      <c r="J145" t="s">
        <v>40</v>
      </c>
      <c r="K145">
        <v>0</v>
      </c>
      <c r="L145">
        <v>0</v>
      </c>
      <c r="M145">
        <v>0</v>
      </c>
      <c r="N145">
        <v>0</v>
      </c>
      <c r="O145" t="s">
        <v>42</v>
      </c>
      <c r="P145" t="s">
        <v>43</v>
      </c>
      <c r="Q145" t="s">
        <v>40</v>
      </c>
      <c r="R145">
        <v>1181037</v>
      </c>
      <c r="S145" t="s">
        <v>44</v>
      </c>
      <c r="T145">
        <v>54</v>
      </c>
      <c r="U145" t="s">
        <v>66</v>
      </c>
      <c r="V145">
        <v>0</v>
      </c>
      <c r="W145">
        <v>0</v>
      </c>
      <c r="X145" t="s">
        <v>67</v>
      </c>
      <c r="Y145" t="s">
        <v>40</v>
      </c>
      <c r="Z145" t="s">
        <v>40</v>
      </c>
      <c r="AA145" t="s">
        <v>40</v>
      </c>
      <c r="AB145" t="s">
        <v>40</v>
      </c>
      <c r="AC145" t="s">
        <v>40</v>
      </c>
      <c r="AD145" t="s">
        <v>40</v>
      </c>
      <c r="AE145" t="s">
        <v>40</v>
      </c>
      <c r="AF145" t="s">
        <v>40</v>
      </c>
      <c r="AG145" s="1">
        <v>38256</v>
      </c>
      <c r="AH145">
        <v>500</v>
      </c>
      <c r="AI145" t="s">
        <v>40</v>
      </c>
      <c r="AJ145" t="s">
        <v>40</v>
      </c>
      <c r="AK145" t="s">
        <v>40</v>
      </c>
      <c r="AL145" t="s">
        <v>40</v>
      </c>
      <c r="AN145" s="2" t="s">
        <v>155</v>
      </c>
      <c r="AO145">
        <v>228</v>
      </c>
    </row>
    <row r="146" spans="1:41" ht="409.6" x14ac:dyDescent="0.3">
      <c r="A146">
        <v>5424596</v>
      </c>
      <c r="B146" t="s">
        <v>70</v>
      </c>
      <c r="C146" t="str">
        <f>_xlfn.XLOOKUP(B146,Match!$A$2:$A$111,Match!$B$2:$B$111)</f>
        <v>Brevard, FL</v>
      </c>
      <c r="D146" t="str">
        <f>_xlfn.XLOOKUP(C146,Validation!$B$2:$B$68,Validation!$A$2:$A$68)</f>
        <v>12009</v>
      </c>
      <c r="E146" t="s">
        <v>40</v>
      </c>
      <c r="F146" s="1">
        <v>38255</v>
      </c>
      <c r="G146">
        <v>2200</v>
      </c>
      <c r="H146" t="s">
        <v>41</v>
      </c>
      <c r="I146" t="s">
        <v>40</v>
      </c>
      <c r="J146" t="s">
        <v>40</v>
      </c>
      <c r="K146">
        <v>0</v>
      </c>
      <c r="L146">
        <v>0</v>
      </c>
      <c r="M146">
        <v>320400000</v>
      </c>
      <c r="N146">
        <v>7700000</v>
      </c>
      <c r="O146" t="s">
        <v>42</v>
      </c>
      <c r="P146" t="s">
        <v>43</v>
      </c>
      <c r="Q146" t="s">
        <v>40</v>
      </c>
      <c r="R146">
        <v>1181037</v>
      </c>
      <c r="S146" t="s">
        <v>44</v>
      </c>
      <c r="T146">
        <v>47</v>
      </c>
      <c r="U146" t="s">
        <v>66</v>
      </c>
      <c r="V146">
        <v>0</v>
      </c>
      <c r="W146">
        <v>0</v>
      </c>
      <c r="X146" t="s">
        <v>67</v>
      </c>
      <c r="Y146" t="s">
        <v>40</v>
      </c>
      <c r="Z146" t="s">
        <v>40</v>
      </c>
      <c r="AA146" t="s">
        <v>40</v>
      </c>
      <c r="AB146" t="s">
        <v>40</v>
      </c>
      <c r="AC146" t="s">
        <v>40</v>
      </c>
      <c r="AD146" t="s">
        <v>40</v>
      </c>
      <c r="AE146" t="s">
        <v>40</v>
      </c>
      <c r="AF146" t="s">
        <v>40</v>
      </c>
      <c r="AG146" s="1">
        <v>38256</v>
      </c>
      <c r="AH146">
        <v>600</v>
      </c>
      <c r="AI146" t="s">
        <v>40</v>
      </c>
      <c r="AJ146" t="s">
        <v>40</v>
      </c>
      <c r="AK146" t="s">
        <v>40</v>
      </c>
      <c r="AL146" t="s">
        <v>40</v>
      </c>
      <c r="AN146" s="2" t="s">
        <v>155</v>
      </c>
      <c r="AO146">
        <v>229</v>
      </c>
    </row>
    <row r="147" spans="1:41" ht="409.6" x14ac:dyDescent="0.3">
      <c r="A147">
        <v>5452812</v>
      </c>
      <c r="B147" t="s">
        <v>121</v>
      </c>
      <c r="C147" t="str">
        <f>_xlfn.XLOOKUP(B147,Match!$A$2:$A$111,Match!$B$2:$B$111)</f>
        <v>Collier, FL</v>
      </c>
      <c r="D147" t="str">
        <f>_xlfn.XLOOKUP(C147,Validation!$B$2:$B$68,Validation!$A$2:$A$68)</f>
        <v>12021</v>
      </c>
      <c r="E147" t="s">
        <v>40</v>
      </c>
      <c r="F147" s="1">
        <v>38541</v>
      </c>
      <c r="G147">
        <v>1600</v>
      </c>
      <c r="H147" t="s">
        <v>41</v>
      </c>
      <c r="I147" t="s">
        <v>40</v>
      </c>
      <c r="J147" t="s">
        <v>40</v>
      </c>
      <c r="K147">
        <v>0</v>
      </c>
      <c r="L147">
        <v>0</v>
      </c>
      <c r="M147">
        <v>0</v>
      </c>
      <c r="N147">
        <v>0</v>
      </c>
      <c r="O147" t="s">
        <v>42</v>
      </c>
      <c r="P147" t="s">
        <v>43</v>
      </c>
      <c r="Q147" t="s">
        <v>40</v>
      </c>
      <c r="R147">
        <v>1190954</v>
      </c>
      <c r="S147" t="s">
        <v>44</v>
      </c>
      <c r="T147">
        <v>69</v>
      </c>
      <c r="U147" t="s">
        <v>45</v>
      </c>
      <c r="V147">
        <v>0</v>
      </c>
      <c r="W147">
        <v>0</v>
      </c>
      <c r="X147" t="s">
        <v>46</v>
      </c>
      <c r="Y147" t="s">
        <v>40</v>
      </c>
      <c r="Z147" t="s">
        <v>40</v>
      </c>
      <c r="AA147" t="s">
        <v>40</v>
      </c>
      <c r="AB147" t="s">
        <v>40</v>
      </c>
      <c r="AC147" t="s">
        <v>40</v>
      </c>
      <c r="AD147" t="s">
        <v>40</v>
      </c>
      <c r="AE147" t="s">
        <v>40</v>
      </c>
      <c r="AF147" t="s">
        <v>40</v>
      </c>
      <c r="AG147" s="1">
        <v>38543</v>
      </c>
      <c r="AH147">
        <v>1200</v>
      </c>
      <c r="AI147" t="s">
        <v>40</v>
      </c>
      <c r="AJ147" t="s">
        <v>40</v>
      </c>
      <c r="AK147" t="s">
        <v>40</v>
      </c>
      <c r="AL147" t="s">
        <v>40</v>
      </c>
      <c r="AN147" s="2" t="s">
        <v>157</v>
      </c>
      <c r="AO147">
        <v>230</v>
      </c>
    </row>
    <row r="148" spans="1:41" ht="409.6" x14ac:dyDescent="0.3">
      <c r="A148">
        <v>5452814</v>
      </c>
      <c r="B148" t="s">
        <v>39</v>
      </c>
      <c r="C148" t="str">
        <f>_xlfn.XLOOKUP(B148,Match!$A$2:$A$111,Match!$B$2:$B$111)</f>
        <v>Palm Beach, FL</v>
      </c>
      <c r="D148" t="str">
        <f>_xlfn.XLOOKUP(C148,Validation!$B$2:$B$68,Validation!$A$2:$A$68)</f>
        <v>12099</v>
      </c>
      <c r="E148" t="s">
        <v>40</v>
      </c>
      <c r="F148" s="1">
        <v>38541</v>
      </c>
      <c r="G148">
        <v>1600</v>
      </c>
      <c r="H148" t="s">
        <v>41</v>
      </c>
      <c r="I148" t="s">
        <v>40</v>
      </c>
      <c r="J148" t="s">
        <v>40</v>
      </c>
      <c r="K148">
        <v>0</v>
      </c>
      <c r="L148">
        <v>0</v>
      </c>
      <c r="M148">
        <v>0</v>
      </c>
      <c r="N148">
        <v>0</v>
      </c>
      <c r="O148" t="s">
        <v>42</v>
      </c>
      <c r="P148" t="s">
        <v>43</v>
      </c>
      <c r="Q148" t="s">
        <v>40</v>
      </c>
      <c r="R148">
        <v>1190954</v>
      </c>
      <c r="S148" t="s">
        <v>44</v>
      </c>
      <c r="T148">
        <v>68</v>
      </c>
      <c r="U148" t="s">
        <v>45</v>
      </c>
      <c r="V148">
        <v>0</v>
      </c>
      <c r="W148">
        <v>0</v>
      </c>
      <c r="X148" t="s">
        <v>46</v>
      </c>
      <c r="Y148" t="s">
        <v>40</v>
      </c>
      <c r="Z148" t="s">
        <v>40</v>
      </c>
      <c r="AA148" t="s">
        <v>40</v>
      </c>
      <c r="AB148" t="s">
        <v>40</v>
      </c>
      <c r="AC148" t="s">
        <v>40</v>
      </c>
      <c r="AD148" t="s">
        <v>40</v>
      </c>
      <c r="AE148" t="s">
        <v>40</v>
      </c>
      <c r="AF148" t="s">
        <v>40</v>
      </c>
      <c r="AG148" s="1">
        <v>38543</v>
      </c>
      <c r="AH148">
        <v>1200</v>
      </c>
      <c r="AI148" t="s">
        <v>40</v>
      </c>
      <c r="AJ148" t="s">
        <v>40</v>
      </c>
      <c r="AK148" t="s">
        <v>40</v>
      </c>
      <c r="AL148" t="s">
        <v>40</v>
      </c>
      <c r="AN148" s="2" t="s">
        <v>157</v>
      </c>
      <c r="AO148">
        <v>231</v>
      </c>
    </row>
    <row r="149" spans="1:41" ht="409.6" x14ac:dyDescent="0.3">
      <c r="A149">
        <v>5452813</v>
      </c>
      <c r="B149" t="s">
        <v>48</v>
      </c>
      <c r="C149" t="str">
        <f>_xlfn.XLOOKUP(B149,Match!$A$2:$A$111,Match!$B$2:$B$111)</f>
        <v>Miami-Dade, FL</v>
      </c>
      <c r="D149" t="str">
        <f>_xlfn.XLOOKUP(C149,Validation!$B$2:$B$68,Validation!$A$2:$A$68)</f>
        <v>12086</v>
      </c>
      <c r="E149" t="s">
        <v>40</v>
      </c>
      <c r="F149" s="1">
        <v>38541</v>
      </c>
      <c r="G149">
        <v>1600</v>
      </c>
      <c r="H149" t="s">
        <v>41</v>
      </c>
      <c r="I149" t="s">
        <v>40</v>
      </c>
      <c r="J149" t="s">
        <v>40</v>
      </c>
      <c r="K149">
        <v>0</v>
      </c>
      <c r="L149">
        <v>0</v>
      </c>
      <c r="M149">
        <v>0</v>
      </c>
      <c r="N149">
        <v>0</v>
      </c>
      <c r="O149" t="s">
        <v>42</v>
      </c>
      <c r="P149" t="s">
        <v>43</v>
      </c>
      <c r="Q149" t="s">
        <v>40</v>
      </c>
      <c r="R149">
        <v>1190954</v>
      </c>
      <c r="S149" t="s">
        <v>44</v>
      </c>
      <c r="T149">
        <v>74</v>
      </c>
      <c r="U149" t="s">
        <v>45</v>
      </c>
      <c r="V149">
        <v>0</v>
      </c>
      <c r="W149">
        <v>0</v>
      </c>
      <c r="X149" t="s">
        <v>46</v>
      </c>
      <c r="Y149" t="s">
        <v>40</v>
      </c>
      <c r="Z149" t="s">
        <v>40</v>
      </c>
      <c r="AA149" t="s">
        <v>40</v>
      </c>
      <c r="AB149" t="s">
        <v>40</v>
      </c>
      <c r="AC149" t="s">
        <v>40</v>
      </c>
      <c r="AD149" t="s">
        <v>40</v>
      </c>
      <c r="AE149" t="s">
        <v>40</v>
      </c>
      <c r="AF149" t="s">
        <v>40</v>
      </c>
      <c r="AG149" s="1">
        <v>38543</v>
      </c>
      <c r="AH149">
        <v>1200</v>
      </c>
      <c r="AI149" t="s">
        <v>40</v>
      </c>
      <c r="AJ149" t="s">
        <v>40</v>
      </c>
      <c r="AK149" t="s">
        <v>40</v>
      </c>
      <c r="AL149" t="s">
        <v>40</v>
      </c>
      <c r="AN149" s="2" t="s">
        <v>157</v>
      </c>
      <c r="AO149">
        <v>232</v>
      </c>
    </row>
    <row r="150" spans="1:41" ht="409.6" x14ac:dyDescent="0.3">
      <c r="A150">
        <v>5452811</v>
      </c>
      <c r="B150" t="s">
        <v>52</v>
      </c>
      <c r="C150" t="str">
        <f>_xlfn.XLOOKUP(B150,Match!$A$2:$A$111,Match!$B$2:$B$111)</f>
        <v>Broward, FL</v>
      </c>
      <c r="D150" t="str">
        <f>_xlfn.XLOOKUP(C150,Validation!$B$2:$B$68,Validation!$A$2:$A$68)</f>
        <v>12011</v>
      </c>
      <c r="E150" t="s">
        <v>40</v>
      </c>
      <c r="F150" s="1">
        <v>38541</v>
      </c>
      <c r="G150">
        <v>1600</v>
      </c>
      <c r="H150" t="s">
        <v>41</v>
      </c>
      <c r="I150" t="s">
        <v>40</v>
      </c>
      <c r="J150" t="s">
        <v>40</v>
      </c>
      <c r="K150">
        <v>1</v>
      </c>
      <c r="L150">
        <v>0</v>
      </c>
      <c r="M150">
        <v>0</v>
      </c>
      <c r="N150">
        <v>0</v>
      </c>
      <c r="O150" t="s">
        <v>42</v>
      </c>
      <c r="P150" t="s">
        <v>43</v>
      </c>
      <c r="Q150" t="s">
        <v>40</v>
      </c>
      <c r="R150">
        <v>1190954</v>
      </c>
      <c r="S150" t="s">
        <v>44</v>
      </c>
      <c r="T150">
        <v>72</v>
      </c>
      <c r="U150" t="s">
        <v>45</v>
      </c>
      <c r="V150">
        <v>0</v>
      </c>
      <c r="W150">
        <v>0</v>
      </c>
      <c r="X150" t="s">
        <v>46</v>
      </c>
      <c r="Y150" t="s">
        <v>40</v>
      </c>
      <c r="Z150" t="s">
        <v>40</v>
      </c>
      <c r="AA150" t="s">
        <v>40</v>
      </c>
      <c r="AB150" t="s">
        <v>40</v>
      </c>
      <c r="AC150" t="s">
        <v>40</v>
      </c>
      <c r="AD150" t="s">
        <v>40</v>
      </c>
      <c r="AE150" t="s">
        <v>40</v>
      </c>
      <c r="AF150" t="s">
        <v>40</v>
      </c>
      <c r="AG150" s="1">
        <v>38543</v>
      </c>
      <c r="AH150">
        <v>1200</v>
      </c>
      <c r="AI150" t="s">
        <v>40</v>
      </c>
      <c r="AJ150" t="s">
        <v>40</v>
      </c>
      <c r="AK150" t="s">
        <v>40</v>
      </c>
      <c r="AL150" t="s">
        <v>40</v>
      </c>
      <c r="AN150" s="2" t="s">
        <v>157</v>
      </c>
      <c r="AO150">
        <v>233</v>
      </c>
    </row>
    <row r="151" spans="1:41" x14ac:dyDescent="0.3">
      <c r="A151">
        <v>5474035</v>
      </c>
      <c r="B151" t="s">
        <v>87</v>
      </c>
      <c r="C151" t="str">
        <f>_xlfn.XLOOKUP(B151,Match!$A$2:$A$111,Match!$B$2:$B$111)</f>
        <v>Monroe, FL</v>
      </c>
      <c r="D151" t="str">
        <f>_xlfn.XLOOKUP(C151,Validation!$B$2:$B$68,Validation!$A$2:$A$68)</f>
        <v>12087</v>
      </c>
      <c r="E151" t="s">
        <v>40</v>
      </c>
      <c r="F151" s="1">
        <v>38541</v>
      </c>
      <c r="G151">
        <v>2000</v>
      </c>
      <c r="H151" t="s">
        <v>41</v>
      </c>
      <c r="I151" t="s">
        <v>40</v>
      </c>
      <c r="J151" t="s">
        <v>40</v>
      </c>
      <c r="K151">
        <v>0</v>
      </c>
      <c r="L151">
        <v>0</v>
      </c>
      <c r="M151">
        <v>6800000</v>
      </c>
      <c r="N151">
        <v>0</v>
      </c>
      <c r="O151" t="s">
        <v>42</v>
      </c>
      <c r="P151" t="s">
        <v>43</v>
      </c>
      <c r="Q151" t="s">
        <v>40</v>
      </c>
      <c r="R151">
        <v>1198862</v>
      </c>
      <c r="S151" t="s">
        <v>44</v>
      </c>
      <c r="T151">
        <v>77</v>
      </c>
      <c r="U151" t="s">
        <v>85</v>
      </c>
      <c r="V151">
        <v>0</v>
      </c>
      <c r="W151">
        <v>0</v>
      </c>
      <c r="X151" t="s">
        <v>86</v>
      </c>
      <c r="Y151" t="s">
        <v>40</v>
      </c>
      <c r="Z151" t="s">
        <v>40</v>
      </c>
      <c r="AA151" t="s">
        <v>40</v>
      </c>
      <c r="AB151" t="s">
        <v>40</v>
      </c>
      <c r="AC151" t="s">
        <v>40</v>
      </c>
      <c r="AD151" t="s">
        <v>40</v>
      </c>
      <c r="AE151" t="s">
        <v>40</v>
      </c>
      <c r="AF151" t="s">
        <v>40</v>
      </c>
      <c r="AG151" s="1">
        <v>38542</v>
      </c>
      <c r="AH151">
        <v>2200</v>
      </c>
      <c r="AI151" t="s">
        <v>40</v>
      </c>
      <c r="AJ151" t="s">
        <v>40</v>
      </c>
      <c r="AK151" t="s">
        <v>40</v>
      </c>
      <c r="AL151" t="s">
        <v>40</v>
      </c>
      <c r="AM151" t="s">
        <v>158</v>
      </c>
      <c r="AO151">
        <v>234</v>
      </c>
    </row>
    <row r="152" spans="1:41" x14ac:dyDescent="0.3">
      <c r="A152">
        <v>5474034</v>
      </c>
      <c r="B152" t="s">
        <v>84</v>
      </c>
      <c r="C152" t="str">
        <f>_xlfn.XLOOKUP(B152,Match!$A$2:$A$111,Match!$B$2:$B$111)</f>
        <v>Monroe, FL</v>
      </c>
      <c r="D152" t="str">
        <f>_xlfn.XLOOKUP(C152,Validation!$B$2:$B$68,Validation!$A$2:$A$68)</f>
        <v>12087</v>
      </c>
      <c r="E152" t="s">
        <v>40</v>
      </c>
      <c r="F152" s="1">
        <v>38541</v>
      </c>
      <c r="G152">
        <v>2000</v>
      </c>
      <c r="H152" t="s">
        <v>41</v>
      </c>
      <c r="I152" t="s">
        <v>40</v>
      </c>
      <c r="J152" t="s">
        <v>40</v>
      </c>
      <c r="K152">
        <v>1</v>
      </c>
      <c r="L152">
        <v>0</v>
      </c>
      <c r="M152">
        <v>250000</v>
      </c>
      <c r="N152">
        <v>0</v>
      </c>
      <c r="O152" t="s">
        <v>42</v>
      </c>
      <c r="P152" t="s">
        <v>43</v>
      </c>
      <c r="Q152" t="s">
        <v>40</v>
      </c>
      <c r="R152">
        <v>1198862</v>
      </c>
      <c r="S152" t="s">
        <v>44</v>
      </c>
      <c r="T152">
        <v>78</v>
      </c>
      <c r="U152" t="s">
        <v>85</v>
      </c>
      <c r="V152">
        <v>0</v>
      </c>
      <c r="W152">
        <v>0</v>
      </c>
      <c r="X152" t="s">
        <v>86</v>
      </c>
      <c r="Y152" t="s">
        <v>40</v>
      </c>
      <c r="Z152" t="s">
        <v>40</v>
      </c>
      <c r="AA152" t="s">
        <v>40</v>
      </c>
      <c r="AB152" t="s">
        <v>40</v>
      </c>
      <c r="AC152" t="s">
        <v>40</v>
      </c>
      <c r="AD152" t="s">
        <v>40</v>
      </c>
      <c r="AE152" t="s">
        <v>40</v>
      </c>
      <c r="AF152" t="s">
        <v>40</v>
      </c>
      <c r="AG152" s="1">
        <v>38542</v>
      </c>
      <c r="AH152">
        <v>2200</v>
      </c>
      <c r="AI152" t="s">
        <v>40</v>
      </c>
      <c r="AJ152" t="s">
        <v>40</v>
      </c>
      <c r="AK152" t="s">
        <v>40</v>
      </c>
      <c r="AL152" t="s">
        <v>40</v>
      </c>
      <c r="AM152" t="s">
        <v>159</v>
      </c>
      <c r="AO152">
        <v>235</v>
      </c>
    </row>
    <row r="153" spans="1:41" x14ac:dyDescent="0.3">
      <c r="A153">
        <v>5474033</v>
      </c>
      <c r="B153" t="s">
        <v>88</v>
      </c>
      <c r="C153" t="str">
        <f>_xlfn.XLOOKUP(B153,Match!$A$2:$A$111,Match!$B$2:$B$111)</f>
        <v>Monroe, FL</v>
      </c>
      <c r="D153" t="str">
        <f>_xlfn.XLOOKUP(C153,Validation!$B$2:$B$68,Validation!$A$2:$A$68)</f>
        <v>12087</v>
      </c>
      <c r="E153" t="s">
        <v>40</v>
      </c>
      <c r="F153" s="1">
        <v>38541</v>
      </c>
      <c r="G153">
        <v>2000</v>
      </c>
      <c r="H153" t="s">
        <v>41</v>
      </c>
      <c r="I153" t="s">
        <v>40</v>
      </c>
      <c r="J153" t="s">
        <v>40</v>
      </c>
      <c r="K153">
        <v>0</v>
      </c>
      <c r="L153">
        <v>0</v>
      </c>
      <c r="M153">
        <v>100000</v>
      </c>
      <c r="N153">
        <v>0</v>
      </c>
      <c r="O153" t="s">
        <v>42</v>
      </c>
      <c r="P153" t="s">
        <v>43</v>
      </c>
      <c r="Q153" t="s">
        <v>40</v>
      </c>
      <c r="R153">
        <v>1198862</v>
      </c>
      <c r="S153" t="s">
        <v>44</v>
      </c>
      <c r="T153">
        <v>76</v>
      </c>
      <c r="U153" t="s">
        <v>85</v>
      </c>
      <c r="V153">
        <v>0</v>
      </c>
      <c r="W153">
        <v>0</v>
      </c>
      <c r="X153" t="s">
        <v>86</v>
      </c>
      <c r="Y153" t="s">
        <v>40</v>
      </c>
      <c r="Z153" t="s">
        <v>40</v>
      </c>
      <c r="AA153" t="s">
        <v>40</v>
      </c>
      <c r="AB153" t="s">
        <v>40</v>
      </c>
      <c r="AC153" t="s">
        <v>40</v>
      </c>
      <c r="AD153" t="s">
        <v>40</v>
      </c>
      <c r="AE153" t="s">
        <v>40</v>
      </c>
      <c r="AF153" t="s">
        <v>40</v>
      </c>
      <c r="AG153" s="1">
        <v>38542</v>
      </c>
      <c r="AH153">
        <v>2200</v>
      </c>
      <c r="AI153" t="s">
        <v>40</v>
      </c>
      <c r="AJ153" t="s">
        <v>40</v>
      </c>
      <c r="AK153" t="s">
        <v>40</v>
      </c>
      <c r="AL153" t="s">
        <v>40</v>
      </c>
      <c r="AM153" t="s">
        <v>160</v>
      </c>
      <c r="AO153">
        <v>236</v>
      </c>
    </row>
    <row r="154" spans="1:41" ht="409.6" x14ac:dyDescent="0.3">
      <c r="A154">
        <v>5463843</v>
      </c>
      <c r="B154" t="s">
        <v>143</v>
      </c>
      <c r="C154" t="str">
        <f>_xlfn.XLOOKUP(B154,Match!$A$2:$A$111,Match!$B$2:$B$111)</f>
        <v>Santa Rosa, FL</v>
      </c>
      <c r="D154" t="str">
        <f>_xlfn.XLOOKUP(C154,Validation!$B$2:$B$68,Validation!$A$2:$A$68)</f>
        <v>12113</v>
      </c>
      <c r="E154" t="s">
        <v>40</v>
      </c>
      <c r="F154" s="1">
        <v>38542</v>
      </c>
      <c r="G154">
        <v>300</v>
      </c>
      <c r="H154" t="s">
        <v>41</v>
      </c>
      <c r="I154" t="s">
        <v>40</v>
      </c>
      <c r="J154" t="s">
        <v>40</v>
      </c>
      <c r="K154">
        <v>0</v>
      </c>
      <c r="L154">
        <v>0</v>
      </c>
      <c r="M154">
        <v>0</v>
      </c>
      <c r="N154">
        <v>0</v>
      </c>
      <c r="O154" t="s">
        <v>42</v>
      </c>
      <c r="P154" t="s">
        <v>137</v>
      </c>
      <c r="Q154" t="s">
        <v>40</v>
      </c>
      <c r="R154">
        <v>1194650</v>
      </c>
      <c r="S154" t="s">
        <v>44</v>
      </c>
      <c r="T154">
        <v>3</v>
      </c>
      <c r="U154" t="s">
        <v>138</v>
      </c>
      <c r="V154">
        <v>0</v>
      </c>
      <c r="W154">
        <v>0</v>
      </c>
      <c r="X154" t="s">
        <v>67</v>
      </c>
      <c r="Y154" t="s">
        <v>40</v>
      </c>
      <c r="Z154" t="s">
        <v>40</v>
      </c>
      <c r="AA154" t="s">
        <v>40</v>
      </c>
      <c r="AB154" t="s">
        <v>40</v>
      </c>
      <c r="AC154" t="s">
        <v>40</v>
      </c>
      <c r="AD154" t="s">
        <v>40</v>
      </c>
      <c r="AE154" t="s">
        <v>40</v>
      </c>
      <c r="AF154" t="s">
        <v>40</v>
      </c>
      <c r="AG154" s="1">
        <v>38543</v>
      </c>
      <c r="AH154">
        <v>2100</v>
      </c>
      <c r="AI154" t="s">
        <v>40</v>
      </c>
      <c r="AJ154" t="s">
        <v>40</v>
      </c>
      <c r="AK154" t="s">
        <v>40</v>
      </c>
      <c r="AL154" t="s">
        <v>40</v>
      </c>
      <c r="AN154" s="2" t="s">
        <v>161</v>
      </c>
      <c r="AO154">
        <v>237</v>
      </c>
    </row>
    <row r="155" spans="1:41" ht="409.6" x14ac:dyDescent="0.3">
      <c r="A155">
        <v>5463842</v>
      </c>
      <c r="B155" t="s">
        <v>140</v>
      </c>
      <c r="C155" t="str">
        <f>_xlfn.XLOOKUP(B155,Match!$A$2:$A$111,Match!$B$2:$B$111)</f>
        <v xml:space="preserve"> Santa Rosa, FL</v>
      </c>
      <c r="D155" t="e">
        <f>_xlfn.XLOOKUP(C155,Validation!$B$2:$B$68,Validation!$A$2:$A$68)</f>
        <v>#N/A</v>
      </c>
      <c r="E155" t="s">
        <v>40</v>
      </c>
      <c r="F155" s="1">
        <v>38542</v>
      </c>
      <c r="G155">
        <v>300</v>
      </c>
      <c r="H155" t="s">
        <v>41</v>
      </c>
      <c r="I155" t="s">
        <v>40</v>
      </c>
      <c r="J155" t="s">
        <v>40</v>
      </c>
      <c r="K155">
        <v>0</v>
      </c>
      <c r="L155">
        <v>0</v>
      </c>
      <c r="M155">
        <v>0</v>
      </c>
      <c r="N155">
        <v>0</v>
      </c>
      <c r="O155" t="s">
        <v>42</v>
      </c>
      <c r="P155" t="s">
        <v>137</v>
      </c>
      <c r="Q155" t="s">
        <v>40</v>
      </c>
      <c r="R155">
        <v>1194650</v>
      </c>
      <c r="S155" t="s">
        <v>44</v>
      </c>
      <c r="T155">
        <v>4</v>
      </c>
      <c r="U155" t="s">
        <v>138</v>
      </c>
      <c r="V155">
        <v>0</v>
      </c>
      <c r="W155">
        <v>0</v>
      </c>
      <c r="X155" t="s">
        <v>67</v>
      </c>
      <c r="Y155" t="s">
        <v>40</v>
      </c>
      <c r="Z155" t="s">
        <v>40</v>
      </c>
      <c r="AA155" t="s">
        <v>40</v>
      </c>
      <c r="AB155" t="s">
        <v>40</v>
      </c>
      <c r="AC155" t="s">
        <v>40</v>
      </c>
      <c r="AD155" t="s">
        <v>40</v>
      </c>
      <c r="AE155" t="s">
        <v>40</v>
      </c>
      <c r="AF155" t="s">
        <v>40</v>
      </c>
      <c r="AG155" s="1">
        <v>38543</v>
      </c>
      <c r="AH155">
        <v>2100</v>
      </c>
      <c r="AI155" t="s">
        <v>40</v>
      </c>
      <c r="AJ155" t="s">
        <v>40</v>
      </c>
      <c r="AK155" t="s">
        <v>40</v>
      </c>
      <c r="AL155" t="s">
        <v>40</v>
      </c>
      <c r="AN155" s="2" t="s">
        <v>161</v>
      </c>
      <c r="AO155">
        <v>238</v>
      </c>
    </row>
    <row r="156" spans="1:41" ht="409.6" x14ac:dyDescent="0.3">
      <c r="A156">
        <v>5463841</v>
      </c>
      <c r="B156" t="s">
        <v>144</v>
      </c>
      <c r="C156" t="str">
        <f>_xlfn.XLOOKUP(B156,Match!$A$2:$A$111,Match!$B$2:$B$111)</f>
        <v>Okaloosa, FL</v>
      </c>
      <c r="D156" t="str">
        <f>_xlfn.XLOOKUP(C156,Validation!$B$2:$B$68,Validation!$A$2:$A$68)</f>
        <v>12091</v>
      </c>
      <c r="E156" t="s">
        <v>40</v>
      </c>
      <c r="F156" s="1">
        <v>38542</v>
      </c>
      <c r="G156">
        <v>300</v>
      </c>
      <c r="H156" t="s">
        <v>41</v>
      </c>
      <c r="I156" t="s">
        <v>40</v>
      </c>
      <c r="J156" t="s">
        <v>40</v>
      </c>
      <c r="K156">
        <v>0</v>
      </c>
      <c r="L156">
        <v>0</v>
      </c>
      <c r="M156">
        <v>0</v>
      </c>
      <c r="N156">
        <v>0</v>
      </c>
      <c r="O156" t="s">
        <v>42</v>
      </c>
      <c r="P156" t="s">
        <v>137</v>
      </c>
      <c r="Q156" t="s">
        <v>40</v>
      </c>
      <c r="R156">
        <v>1194650</v>
      </c>
      <c r="S156" t="s">
        <v>44</v>
      </c>
      <c r="T156">
        <v>5</v>
      </c>
      <c r="U156" t="s">
        <v>138</v>
      </c>
      <c r="V156">
        <v>0</v>
      </c>
      <c r="W156">
        <v>0</v>
      </c>
      <c r="X156" t="s">
        <v>67</v>
      </c>
      <c r="Y156" t="s">
        <v>40</v>
      </c>
      <c r="Z156" t="s">
        <v>40</v>
      </c>
      <c r="AA156" t="s">
        <v>40</v>
      </c>
      <c r="AB156" t="s">
        <v>40</v>
      </c>
      <c r="AC156" t="s">
        <v>40</v>
      </c>
      <c r="AD156" t="s">
        <v>40</v>
      </c>
      <c r="AE156" t="s">
        <v>40</v>
      </c>
      <c r="AF156" t="s">
        <v>40</v>
      </c>
      <c r="AG156" s="1">
        <v>38543</v>
      </c>
      <c r="AH156">
        <v>2100</v>
      </c>
      <c r="AI156" t="s">
        <v>40</v>
      </c>
      <c r="AJ156" t="s">
        <v>40</v>
      </c>
      <c r="AK156" t="s">
        <v>40</v>
      </c>
      <c r="AL156" t="s">
        <v>40</v>
      </c>
      <c r="AN156" s="2" t="s">
        <v>161</v>
      </c>
      <c r="AO156">
        <v>239</v>
      </c>
    </row>
    <row r="157" spans="1:41" ht="409.6" x14ac:dyDescent="0.3">
      <c r="A157">
        <v>5463840</v>
      </c>
      <c r="B157" t="s">
        <v>141</v>
      </c>
      <c r="C157" t="str">
        <f>_xlfn.XLOOKUP(B157,Match!$A$2:$A$111,Match!$B$2:$B$111)</f>
        <v>Okaloosa, FL</v>
      </c>
      <c r="D157" t="str">
        <f>_xlfn.XLOOKUP(C157,Validation!$B$2:$B$68,Validation!$A$2:$A$68)</f>
        <v>12091</v>
      </c>
      <c r="E157" t="s">
        <v>40</v>
      </c>
      <c r="F157" s="1">
        <v>38542</v>
      </c>
      <c r="G157">
        <v>300</v>
      </c>
      <c r="H157" t="s">
        <v>41</v>
      </c>
      <c r="I157" t="s">
        <v>40</v>
      </c>
      <c r="J157" t="s">
        <v>40</v>
      </c>
      <c r="K157">
        <v>0</v>
      </c>
      <c r="L157">
        <v>0</v>
      </c>
      <c r="M157">
        <v>0</v>
      </c>
      <c r="N157">
        <v>0</v>
      </c>
      <c r="O157" t="s">
        <v>42</v>
      </c>
      <c r="P157" t="s">
        <v>137</v>
      </c>
      <c r="Q157" t="s">
        <v>40</v>
      </c>
      <c r="R157">
        <v>1194650</v>
      </c>
      <c r="S157" t="s">
        <v>44</v>
      </c>
      <c r="T157">
        <v>6</v>
      </c>
      <c r="U157" t="s">
        <v>138</v>
      </c>
      <c r="V157">
        <v>0</v>
      </c>
      <c r="W157">
        <v>0</v>
      </c>
      <c r="X157" t="s">
        <v>67</v>
      </c>
      <c r="Y157" t="s">
        <v>40</v>
      </c>
      <c r="Z157" t="s">
        <v>40</v>
      </c>
      <c r="AA157" t="s">
        <v>40</v>
      </c>
      <c r="AB157" t="s">
        <v>40</v>
      </c>
      <c r="AC157" t="s">
        <v>40</v>
      </c>
      <c r="AD157" t="s">
        <v>40</v>
      </c>
      <c r="AE157" t="s">
        <v>40</v>
      </c>
      <c r="AF157" t="s">
        <v>40</v>
      </c>
      <c r="AG157" s="1">
        <v>38543</v>
      </c>
      <c r="AH157">
        <v>2100</v>
      </c>
      <c r="AI157" t="s">
        <v>40</v>
      </c>
      <c r="AJ157" t="s">
        <v>40</v>
      </c>
      <c r="AK157" t="s">
        <v>40</v>
      </c>
      <c r="AL157" t="s">
        <v>40</v>
      </c>
      <c r="AN157" s="2" t="s">
        <v>161</v>
      </c>
      <c r="AO157">
        <v>240</v>
      </c>
    </row>
    <row r="158" spans="1:41" ht="409.6" x14ac:dyDescent="0.3">
      <c r="A158">
        <v>5463839</v>
      </c>
      <c r="B158" t="s">
        <v>136</v>
      </c>
      <c r="C158" t="str">
        <f>_xlfn.XLOOKUP(B158,Match!$A$2:$A$111,Match!$B$2:$B$111)</f>
        <v>Escambia, FL</v>
      </c>
      <c r="D158" t="str">
        <f>_xlfn.XLOOKUP(C158,Validation!$B$2:$B$68,Validation!$A$2:$A$68)</f>
        <v>12033</v>
      </c>
      <c r="E158" t="s">
        <v>40</v>
      </c>
      <c r="F158" s="1">
        <v>38542</v>
      </c>
      <c r="G158">
        <v>300</v>
      </c>
      <c r="H158" t="s">
        <v>41</v>
      </c>
      <c r="I158" t="s">
        <v>40</v>
      </c>
      <c r="J158" t="s">
        <v>40</v>
      </c>
      <c r="K158">
        <v>0</v>
      </c>
      <c r="L158">
        <v>0</v>
      </c>
      <c r="M158">
        <v>0</v>
      </c>
      <c r="N158">
        <v>0</v>
      </c>
      <c r="O158" t="s">
        <v>42</v>
      </c>
      <c r="P158" t="s">
        <v>137</v>
      </c>
      <c r="Q158" t="s">
        <v>40</v>
      </c>
      <c r="R158">
        <v>1194650</v>
      </c>
      <c r="S158" t="s">
        <v>44</v>
      </c>
      <c r="T158">
        <v>1</v>
      </c>
      <c r="U158" t="s">
        <v>138</v>
      </c>
      <c r="V158">
        <v>0</v>
      </c>
      <c r="W158">
        <v>0</v>
      </c>
      <c r="X158" t="s">
        <v>67</v>
      </c>
      <c r="Y158" t="s">
        <v>40</v>
      </c>
      <c r="Z158" t="s">
        <v>40</v>
      </c>
      <c r="AA158" t="s">
        <v>40</v>
      </c>
      <c r="AB158" t="s">
        <v>40</v>
      </c>
      <c r="AC158" t="s">
        <v>40</v>
      </c>
      <c r="AD158" t="s">
        <v>40</v>
      </c>
      <c r="AE158" t="s">
        <v>40</v>
      </c>
      <c r="AF158" t="s">
        <v>40</v>
      </c>
      <c r="AG158" s="1">
        <v>38543</v>
      </c>
      <c r="AH158">
        <v>2100</v>
      </c>
      <c r="AI158" t="s">
        <v>40</v>
      </c>
      <c r="AJ158" t="s">
        <v>40</v>
      </c>
      <c r="AK158" t="s">
        <v>40</v>
      </c>
      <c r="AL158" t="s">
        <v>40</v>
      </c>
      <c r="AN158" s="2" t="s">
        <v>161</v>
      </c>
      <c r="AO158">
        <v>241</v>
      </c>
    </row>
    <row r="159" spans="1:41" ht="409.6" x14ac:dyDescent="0.3">
      <c r="A159">
        <v>5463838</v>
      </c>
      <c r="B159" t="s">
        <v>142</v>
      </c>
      <c r="C159" t="str">
        <f>_xlfn.XLOOKUP(B159,Match!$A$2:$A$111,Match!$B$2:$B$111)</f>
        <v>Escambia, FL</v>
      </c>
      <c r="D159" t="str">
        <f>_xlfn.XLOOKUP(C159,Validation!$B$2:$B$68,Validation!$A$2:$A$68)</f>
        <v>12033</v>
      </c>
      <c r="E159" t="s">
        <v>40</v>
      </c>
      <c r="F159" s="1">
        <v>38542</v>
      </c>
      <c r="G159">
        <v>300</v>
      </c>
      <c r="H159" t="s">
        <v>41</v>
      </c>
      <c r="I159" t="s">
        <v>40</v>
      </c>
      <c r="J159" t="s">
        <v>40</v>
      </c>
      <c r="K159">
        <v>0</v>
      </c>
      <c r="L159">
        <v>0</v>
      </c>
      <c r="M159">
        <v>1500000000</v>
      </c>
      <c r="N159">
        <v>300000</v>
      </c>
      <c r="O159" t="s">
        <v>42</v>
      </c>
      <c r="P159" t="s">
        <v>137</v>
      </c>
      <c r="Q159" t="s">
        <v>40</v>
      </c>
      <c r="R159">
        <v>1194650</v>
      </c>
      <c r="S159" t="s">
        <v>44</v>
      </c>
      <c r="T159">
        <v>2</v>
      </c>
      <c r="U159" t="s">
        <v>138</v>
      </c>
      <c r="V159">
        <v>0</v>
      </c>
      <c r="W159">
        <v>0</v>
      </c>
      <c r="X159" t="s">
        <v>67</v>
      </c>
      <c r="Y159" t="s">
        <v>40</v>
      </c>
      <c r="Z159" t="s">
        <v>40</v>
      </c>
      <c r="AA159" t="s">
        <v>40</v>
      </c>
      <c r="AB159" t="s">
        <v>40</v>
      </c>
      <c r="AC159" t="s">
        <v>40</v>
      </c>
      <c r="AD159" t="s">
        <v>40</v>
      </c>
      <c r="AE159" t="s">
        <v>40</v>
      </c>
      <c r="AF159" t="s">
        <v>40</v>
      </c>
      <c r="AG159" s="1">
        <v>38543</v>
      </c>
      <c r="AH159">
        <v>2100</v>
      </c>
      <c r="AI159" t="s">
        <v>40</v>
      </c>
      <c r="AJ159" t="s">
        <v>40</v>
      </c>
      <c r="AK159" t="s">
        <v>40</v>
      </c>
      <c r="AL159" t="s">
        <v>40</v>
      </c>
      <c r="AN159" s="2" t="s">
        <v>161</v>
      </c>
      <c r="AO159">
        <v>242</v>
      </c>
    </row>
    <row r="160" spans="1:41" x14ac:dyDescent="0.3">
      <c r="A160">
        <v>5463445</v>
      </c>
      <c r="B160" t="s">
        <v>115</v>
      </c>
      <c r="C160" t="str">
        <f>_xlfn.XLOOKUP(B160,Match!$A$2:$A$111,Match!$B$2:$B$111)</f>
        <v>Taylor, FL</v>
      </c>
      <c r="D160" t="str">
        <f>_xlfn.XLOOKUP(C160,Validation!$B$2:$B$68,Validation!$A$2:$A$68)</f>
        <v>12123</v>
      </c>
      <c r="E160" t="s">
        <v>40</v>
      </c>
      <c r="F160" s="1">
        <v>38542</v>
      </c>
      <c r="G160">
        <v>1800</v>
      </c>
      <c r="H160" t="s">
        <v>41</v>
      </c>
      <c r="I160" t="s">
        <v>40</v>
      </c>
      <c r="J160" t="s">
        <v>40</v>
      </c>
      <c r="K160">
        <v>0</v>
      </c>
      <c r="L160">
        <v>0</v>
      </c>
      <c r="M160">
        <v>4000000</v>
      </c>
      <c r="N160">
        <v>0</v>
      </c>
      <c r="O160" t="s">
        <v>42</v>
      </c>
      <c r="P160" t="s">
        <v>43</v>
      </c>
      <c r="Q160" t="s">
        <v>40</v>
      </c>
      <c r="R160">
        <v>1195140</v>
      </c>
      <c r="S160" t="s">
        <v>44</v>
      </c>
      <c r="T160">
        <v>28</v>
      </c>
      <c r="U160" t="s">
        <v>106</v>
      </c>
      <c r="V160">
        <v>0</v>
      </c>
      <c r="W160">
        <v>0</v>
      </c>
      <c r="X160" t="s">
        <v>67</v>
      </c>
      <c r="Y160" t="s">
        <v>40</v>
      </c>
      <c r="Z160" t="s">
        <v>40</v>
      </c>
      <c r="AA160" t="s">
        <v>40</v>
      </c>
      <c r="AB160" t="s">
        <v>40</v>
      </c>
      <c r="AC160" t="s">
        <v>40</v>
      </c>
      <c r="AD160" t="s">
        <v>40</v>
      </c>
      <c r="AE160" t="s">
        <v>40</v>
      </c>
      <c r="AF160" t="s">
        <v>40</v>
      </c>
      <c r="AG160" s="1">
        <v>38544</v>
      </c>
      <c r="AH160">
        <v>1200</v>
      </c>
      <c r="AI160" t="s">
        <v>40</v>
      </c>
      <c r="AJ160" t="s">
        <v>40</v>
      </c>
      <c r="AK160" t="s">
        <v>40</v>
      </c>
      <c r="AL160" t="s">
        <v>40</v>
      </c>
      <c r="AN160" t="s">
        <v>162</v>
      </c>
      <c r="AO160">
        <v>243</v>
      </c>
    </row>
    <row r="161" spans="1:41" x14ac:dyDescent="0.3">
      <c r="A161">
        <v>5463442</v>
      </c>
      <c r="B161" t="s">
        <v>112</v>
      </c>
      <c r="C161" t="str">
        <f>_xlfn.XLOOKUP(B161,Match!$A$2:$A$111,Match!$B$2:$B$111)</f>
        <v>Leon, FL</v>
      </c>
      <c r="D161" t="str">
        <f>_xlfn.XLOOKUP(C161,Validation!$B$2:$B$68,Validation!$A$2:$A$68)</f>
        <v>12073</v>
      </c>
      <c r="E161" t="s">
        <v>40</v>
      </c>
      <c r="F161" s="1">
        <v>38542</v>
      </c>
      <c r="G161">
        <v>1800</v>
      </c>
      <c r="H161" t="s">
        <v>41</v>
      </c>
      <c r="I161" t="s">
        <v>40</v>
      </c>
      <c r="J161" t="s">
        <v>40</v>
      </c>
      <c r="K161">
        <v>0</v>
      </c>
      <c r="L161">
        <v>0</v>
      </c>
      <c r="M161">
        <v>2000000</v>
      </c>
      <c r="N161">
        <v>0</v>
      </c>
      <c r="O161" t="s">
        <v>42</v>
      </c>
      <c r="P161" t="s">
        <v>43</v>
      </c>
      <c r="Q161" t="s">
        <v>40</v>
      </c>
      <c r="R161">
        <v>1195140</v>
      </c>
      <c r="S161" t="s">
        <v>44</v>
      </c>
      <c r="T161">
        <v>17</v>
      </c>
      <c r="U161" t="s">
        <v>106</v>
      </c>
      <c r="V161">
        <v>0</v>
      </c>
      <c r="W161">
        <v>0</v>
      </c>
      <c r="X161" t="s">
        <v>67</v>
      </c>
      <c r="Y161" t="s">
        <v>40</v>
      </c>
      <c r="Z161" t="s">
        <v>40</v>
      </c>
      <c r="AA161" t="s">
        <v>40</v>
      </c>
      <c r="AB161" t="s">
        <v>40</v>
      </c>
      <c r="AC161" t="s">
        <v>40</v>
      </c>
      <c r="AD161" t="s">
        <v>40</v>
      </c>
      <c r="AE161" t="s">
        <v>40</v>
      </c>
      <c r="AF161" t="s">
        <v>40</v>
      </c>
      <c r="AG161" s="1">
        <v>38544</v>
      </c>
      <c r="AH161">
        <v>1200</v>
      </c>
      <c r="AI161" t="s">
        <v>40</v>
      </c>
      <c r="AJ161" t="s">
        <v>40</v>
      </c>
      <c r="AK161" t="s">
        <v>40</v>
      </c>
      <c r="AL161" t="s">
        <v>40</v>
      </c>
      <c r="AN161" t="s">
        <v>162</v>
      </c>
      <c r="AO161">
        <v>244</v>
      </c>
    </row>
    <row r="162" spans="1:41" x14ac:dyDescent="0.3">
      <c r="A162">
        <v>5463441</v>
      </c>
      <c r="B162" t="s">
        <v>111</v>
      </c>
      <c r="C162" t="str">
        <f>_xlfn.XLOOKUP(B162,Match!$A$2:$A$111,Match!$B$2:$B$111)</f>
        <v>Lafayette, FL</v>
      </c>
      <c r="D162" t="str">
        <f>_xlfn.XLOOKUP(C162,Validation!$B$2:$B$68,Validation!$A$2:$A$68)</f>
        <v>12067</v>
      </c>
      <c r="E162" t="s">
        <v>40</v>
      </c>
      <c r="F162" s="1">
        <v>38542</v>
      </c>
      <c r="G162">
        <v>1800</v>
      </c>
      <c r="H162" t="s">
        <v>41</v>
      </c>
      <c r="I162" t="s">
        <v>40</v>
      </c>
      <c r="J162" t="s">
        <v>40</v>
      </c>
      <c r="K162">
        <v>0</v>
      </c>
      <c r="L162">
        <v>0</v>
      </c>
      <c r="M162">
        <v>200000</v>
      </c>
      <c r="N162">
        <v>0</v>
      </c>
      <c r="O162" t="s">
        <v>42</v>
      </c>
      <c r="P162" t="s">
        <v>43</v>
      </c>
      <c r="Q162" t="s">
        <v>40</v>
      </c>
      <c r="R162">
        <v>1195140</v>
      </c>
      <c r="S162" t="s">
        <v>44</v>
      </c>
      <c r="T162">
        <v>29</v>
      </c>
      <c r="U162" t="s">
        <v>106</v>
      </c>
      <c r="V162">
        <v>0</v>
      </c>
      <c r="W162">
        <v>0</v>
      </c>
      <c r="X162" t="s">
        <v>67</v>
      </c>
      <c r="Y162" t="s">
        <v>40</v>
      </c>
      <c r="Z162" t="s">
        <v>40</v>
      </c>
      <c r="AA162" t="s">
        <v>40</v>
      </c>
      <c r="AB162" t="s">
        <v>40</v>
      </c>
      <c r="AC162" t="s">
        <v>40</v>
      </c>
      <c r="AD162" t="s">
        <v>40</v>
      </c>
      <c r="AE162" t="s">
        <v>40</v>
      </c>
      <c r="AF162" t="s">
        <v>40</v>
      </c>
      <c r="AG162" s="1">
        <v>38544</v>
      </c>
      <c r="AH162">
        <v>1200</v>
      </c>
      <c r="AI162" t="s">
        <v>40</v>
      </c>
      <c r="AJ162" t="s">
        <v>40</v>
      </c>
      <c r="AK162" t="s">
        <v>40</v>
      </c>
      <c r="AL162" t="s">
        <v>40</v>
      </c>
      <c r="AN162" t="s">
        <v>162</v>
      </c>
      <c r="AO162">
        <v>245</v>
      </c>
    </row>
    <row r="163" spans="1:41" x14ac:dyDescent="0.3">
      <c r="A163">
        <v>5463440</v>
      </c>
      <c r="B163" t="s">
        <v>110</v>
      </c>
      <c r="C163" t="str">
        <f>_xlfn.XLOOKUP(B163,Match!$A$2:$A$111,Match!$B$2:$B$111)</f>
        <v>Jefferson, FL</v>
      </c>
      <c r="D163" t="str">
        <f>_xlfn.XLOOKUP(C163,Validation!$B$2:$B$68,Validation!$A$2:$A$68)</f>
        <v>12065</v>
      </c>
      <c r="E163" t="s">
        <v>40</v>
      </c>
      <c r="F163" s="1">
        <v>38542</v>
      </c>
      <c r="G163">
        <v>1800</v>
      </c>
      <c r="H163" t="s">
        <v>41</v>
      </c>
      <c r="I163" t="s">
        <v>40</v>
      </c>
      <c r="J163" t="s">
        <v>40</v>
      </c>
      <c r="K163">
        <v>0</v>
      </c>
      <c r="L163">
        <v>0</v>
      </c>
      <c r="M163">
        <v>200000</v>
      </c>
      <c r="N163">
        <v>0</v>
      </c>
      <c r="O163" t="s">
        <v>42</v>
      </c>
      <c r="P163" t="s">
        <v>43</v>
      </c>
      <c r="Q163" t="s">
        <v>40</v>
      </c>
      <c r="R163">
        <v>1195140</v>
      </c>
      <c r="S163" t="s">
        <v>44</v>
      </c>
      <c r="T163">
        <v>18</v>
      </c>
      <c r="U163" t="s">
        <v>106</v>
      </c>
      <c r="V163">
        <v>0</v>
      </c>
      <c r="W163">
        <v>0</v>
      </c>
      <c r="X163" t="s">
        <v>67</v>
      </c>
      <c r="Y163" t="s">
        <v>40</v>
      </c>
      <c r="Z163" t="s">
        <v>40</v>
      </c>
      <c r="AA163" t="s">
        <v>40</v>
      </c>
      <c r="AB163" t="s">
        <v>40</v>
      </c>
      <c r="AC163" t="s">
        <v>40</v>
      </c>
      <c r="AD163" t="s">
        <v>40</v>
      </c>
      <c r="AE163" t="s">
        <v>40</v>
      </c>
      <c r="AF163" t="s">
        <v>40</v>
      </c>
      <c r="AG163" s="1">
        <v>38543</v>
      </c>
      <c r="AH163">
        <v>1200</v>
      </c>
      <c r="AI163" t="s">
        <v>40</v>
      </c>
      <c r="AJ163" t="s">
        <v>40</v>
      </c>
      <c r="AK163" t="s">
        <v>40</v>
      </c>
      <c r="AL163" t="s">
        <v>40</v>
      </c>
      <c r="AN163" t="s">
        <v>162</v>
      </c>
      <c r="AO163">
        <v>246</v>
      </c>
    </row>
    <row r="164" spans="1:41" x14ac:dyDescent="0.3">
      <c r="A164">
        <v>5463430</v>
      </c>
      <c r="B164" t="s">
        <v>145</v>
      </c>
      <c r="C164" t="str">
        <f>_xlfn.XLOOKUP(B164,Match!$A$2:$A$111,Match!$B$2:$B$111)</f>
        <v>Bay, FL</v>
      </c>
      <c r="D164" t="str">
        <f>_xlfn.XLOOKUP(C164,Validation!$B$2:$B$68,Validation!$A$2:$A$68)</f>
        <v>12005</v>
      </c>
      <c r="E164" t="s">
        <v>40</v>
      </c>
      <c r="F164" s="1">
        <v>38542</v>
      </c>
      <c r="G164">
        <v>1800</v>
      </c>
      <c r="H164" t="s">
        <v>41</v>
      </c>
      <c r="I164" t="s">
        <v>40</v>
      </c>
      <c r="J164" t="s">
        <v>40</v>
      </c>
      <c r="K164">
        <v>0</v>
      </c>
      <c r="L164">
        <v>0</v>
      </c>
      <c r="M164">
        <v>10000000</v>
      </c>
      <c r="N164">
        <v>0</v>
      </c>
      <c r="O164" t="s">
        <v>42</v>
      </c>
      <c r="P164" t="s">
        <v>43</v>
      </c>
      <c r="Q164" t="s">
        <v>40</v>
      </c>
      <c r="R164">
        <v>1195140</v>
      </c>
      <c r="S164" t="s">
        <v>44</v>
      </c>
      <c r="T164">
        <v>12</v>
      </c>
      <c r="U164" t="s">
        <v>106</v>
      </c>
      <c r="V164">
        <v>0</v>
      </c>
      <c r="W164">
        <v>0</v>
      </c>
      <c r="X164" t="s">
        <v>67</v>
      </c>
      <c r="Y164" t="s">
        <v>40</v>
      </c>
      <c r="Z164" t="s">
        <v>40</v>
      </c>
      <c r="AA164" t="s">
        <v>40</v>
      </c>
      <c r="AB164" t="s">
        <v>40</v>
      </c>
      <c r="AC164" t="s">
        <v>40</v>
      </c>
      <c r="AD164" t="s">
        <v>40</v>
      </c>
      <c r="AE164" t="s">
        <v>40</v>
      </c>
      <c r="AF164" t="s">
        <v>40</v>
      </c>
      <c r="AG164" s="1">
        <v>38544</v>
      </c>
      <c r="AH164">
        <v>1200</v>
      </c>
      <c r="AI164" t="s">
        <v>40</v>
      </c>
      <c r="AJ164" t="s">
        <v>40</v>
      </c>
      <c r="AK164" t="s">
        <v>40</v>
      </c>
      <c r="AL164" t="s">
        <v>40</v>
      </c>
      <c r="AN164" t="s">
        <v>162</v>
      </c>
      <c r="AO164">
        <v>247</v>
      </c>
    </row>
    <row r="165" spans="1:41" x14ac:dyDescent="0.3">
      <c r="A165">
        <v>5463444</v>
      </c>
      <c r="B165" t="s">
        <v>114</v>
      </c>
      <c r="C165" t="str">
        <f>_xlfn.XLOOKUP(B165,Match!$A$2:$A$111,Match!$B$2:$B$111)</f>
        <v>Madison, FL</v>
      </c>
      <c r="D165" t="str">
        <f>_xlfn.XLOOKUP(C165,Validation!$B$2:$B$68,Validation!$A$2:$A$68)</f>
        <v>12079</v>
      </c>
      <c r="E165" t="s">
        <v>40</v>
      </c>
      <c r="F165" s="1">
        <v>38542</v>
      </c>
      <c r="G165">
        <v>1800</v>
      </c>
      <c r="H165" t="s">
        <v>41</v>
      </c>
      <c r="I165" t="s">
        <v>40</v>
      </c>
      <c r="J165" t="s">
        <v>40</v>
      </c>
      <c r="K165">
        <v>0</v>
      </c>
      <c r="L165">
        <v>0</v>
      </c>
      <c r="M165">
        <v>200000</v>
      </c>
      <c r="N165">
        <v>0</v>
      </c>
      <c r="O165" t="s">
        <v>42</v>
      </c>
      <c r="P165" t="s">
        <v>43</v>
      </c>
      <c r="Q165" t="s">
        <v>40</v>
      </c>
      <c r="R165">
        <v>1195140</v>
      </c>
      <c r="S165" t="s">
        <v>44</v>
      </c>
      <c r="T165">
        <v>19</v>
      </c>
      <c r="U165" t="s">
        <v>106</v>
      </c>
      <c r="V165">
        <v>0</v>
      </c>
      <c r="W165">
        <v>0</v>
      </c>
      <c r="X165" t="s">
        <v>67</v>
      </c>
      <c r="Y165" t="s">
        <v>40</v>
      </c>
      <c r="Z165" t="s">
        <v>40</v>
      </c>
      <c r="AA165" t="s">
        <v>40</v>
      </c>
      <c r="AB165" t="s">
        <v>40</v>
      </c>
      <c r="AC165" t="s">
        <v>40</v>
      </c>
      <c r="AD165" t="s">
        <v>40</v>
      </c>
      <c r="AE165" t="s">
        <v>40</v>
      </c>
      <c r="AF165" t="s">
        <v>40</v>
      </c>
      <c r="AG165" s="1">
        <v>38544</v>
      </c>
      <c r="AH165">
        <v>1200</v>
      </c>
      <c r="AI165" t="s">
        <v>40</v>
      </c>
      <c r="AJ165" t="s">
        <v>40</v>
      </c>
      <c r="AK165" t="s">
        <v>40</v>
      </c>
      <c r="AL165" t="s">
        <v>40</v>
      </c>
      <c r="AN165" t="s">
        <v>162</v>
      </c>
      <c r="AO165">
        <v>248</v>
      </c>
    </row>
    <row r="166" spans="1:41" x14ac:dyDescent="0.3">
      <c r="A166">
        <v>5463431</v>
      </c>
      <c r="B166" t="s">
        <v>152</v>
      </c>
      <c r="C166" t="str">
        <f>_xlfn.XLOOKUP(B166,Match!$A$2:$A$111,Match!$B$2:$B$111)</f>
        <v>Calhoun, FL</v>
      </c>
      <c r="D166" t="str">
        <f>_xlfn.XLOOKUP(C166,Validation!$B$2:$B$68,Validation!$A$2:$A$68)</f>
        <v>12013</v>
      </c>
      <c r="E166" t="s">
        <v>40</v>
      </c>
      <c r="F166" s="1">
        <v>38542</v>
      </c>
      <c r="G166">
        <v>1800</v>
      </c>
      <c r="H166" t="s">
        <v>41</v>
      </c>
      <c r="I166" t="s">
        <v>40</v>
      </c>
      <c r="J166" t="s">
        <v>40</v>
      </c>
      <c r="K166">
        <v>0</v>
      </c>
      <c r="L166">
        <v>0</v>
      </c>
      <c r="M166">
        <v>1000000</v>
      </c>
      <c r="N166">
        <v>0</v>
      </c>
      <c r="O166" t="s">
        <v>42</v>
      </c>
      <c r="P166" t="s">
        <v>43</v>
      </c>
      <c r="Q166" t="s">
        <v>40</v>
      </c>
      <c r="R166">
        <v>1195140</v>
      </c>
      <c r="S166" t="s">
        <v>44</v>
      </c>
      <c r="T166">
        <v>13</v>
      </c>
      <c r="U166" t="s">
        <v>106</v>
      </c>
      <c r="V166">
        <v>0</v>
      </c>
      <c r="W166">
        <v>0</v>
      </c>
      <c r="X166" t="s">
        <v>67</v>
      </c>
      <c r="Y166" t="s">
        <v>40</v>
      </c>
      <c r="Z166" t="s">
        <v>40</v>
      </c>
      <c r="AA166" t="s">
        <v>40</v>
      </c>
      <c r="AB166" t="s">
        <v>40</v>
      </c>
      <c r="AC166" t="s">
        <v>40</v>
      </c>
      <c r="AD166" t="s">
        <v>40</v>
      </c>
      <c r="AE166" t="s">
        <v>40</v>
      </c>
      <c r="AF166" t="s">
        <v>40</v>
      </c>
      <c r="AG166" s="1">
        <v>38544</v>
      </c>
      <c r="AH166">
        <v>1200</v>
      </c>
      <c r="AI166" t="s">
        <v>40</v>
      </c>
      <c r="AJ166" t="s">
        <v>40</v>
      </c>
      <c r="AK166" t="s">
        <v>40</v>
      </c>
      <c r="AL166" t="s">
        <v>40</v>
      </c>
      <c r="AN166" t="s">
        <v>162</v>
      </c>
      <c r="AO166">
        <v>249</v>
      </c>
    </row>
    <row r="167" spans="1:41" x14ac:dyDescent="0.3">
      <c r="A167">
        <v>5463443</v>
      </c>
      <c r="B167" t="s">
        <v>113</v>
      </c>
      <c r="C167" t="str">
        <f>_xlfn.XLOOKUP(B167,Match!$A$2:$A$111,Match!$B$2:$B$111)</f>
        <v>Liberty, FL</v>
      </c>
      <c r="D167" t="str">
        <f>_xlfn.XLOOKUP(C167,Validation!$B$2:$B$68,Validation!$A$2:$A$68)</f>
        <v>12077</v>
      </c>
      <c r="E167" t="s">
        <v>40</v>
      </c>
      <c r="F167" s="1">
        <v>38542</v>
      </c>
      <c r="G167">
        <v>1800</v>
      </c>
      <c r="H167" t="s">
        <v>41</v>
      </c>
      <c r="I167" t="s">
        <v>40</v>
      </c>
      <c r="J167" t="s">
        <v>40</v>
      </c>
      <c r="K167">
        <v>0</v>
      </c>
      <c r="L167">
        <v>0</v>
      </c>
      <c r="M167">
        <v>750000</v>
      </c>
      <c r="N167">
        <v>0</v>
      </c>
      <c r="O167" t="s">
        <v>42</v>
      </c>
      <c r="P167" t="s">
        <v>43</v>
      </c>
      <c r="Q167" t="s">
        <v>40</v>
      </c>
      <c r="R167">
        <v>1195140</v>
      </c>
      <c r="S167" t="s">
        <v>44</v>
      </c>
      <c r="T167">
        <v>26</v>
      </c>
      <c r="U167" t="s">
        <v>106</v>
      </c>
      <c r="V167">
        <v>0</v>
      </c>
      <c r="W167">
        <v>0</v>
      </c>
      <c r="X167" t="s">
        <v>67</v>
      </c>
      <c r="Y167" t="s">
        <v>40</v>
      </c>
      <c r="Z167" t="s">
        <v>40</v>
      </c>
      <c r="AA167" t="s">
        <v>40</v>
      </c>
      <c r="AB167" t="s">
        <v>40</v>
      </c>
      <c r="AC167" t="s">
        <v>40</v>
      </c>
      <c r="AD167" t="s">
        <v>40</v>
      </c>
      <c r="AE167" t="s">
        <v>40</v>
      </c>
      <c r="AF167" t="s">
        <v>40</v>
      </c>
      <c r="AG167" s="1">
        <v>38544</v>
      </c>
      <c r="AH167">
        <v>1200</v>
      </c>
      <c r="AI167" t="s">
        <v>40</v>
      </c>
      <c r="AJ167" t="s">
        <v>40</v>
      </c>
      <c r="AK167" t="s">
        <v>40</v>
      </c>
      <c r="AL167" t="s">
        <v>40</v>
      </c>
      <c r="AN167" t="s">
        <v>162</v>
      </c>
      <c r="AO167">
        <v>250</v>
      </c>
    </row>
    <row r="168" spans="1:41" x14ac:dyDescent="0.3">
      <c r="A168">
        <v>5463433</v>
      </c>
      <c r="B168" t="s">
        <v>105</v>
      </c>
      <c r="C168" t="str">
        <f>_xlfn.XLOOKUP(B168,Match!$A$2:$A$111,Match!$B$2:$B$111)</f>
        <v>Dixie, FL</v>
      </c>
      <c r="D168" t="str">
        <f>_xlfn.XLOOKUP(C168,Validation!$B$2:$B$68,Validation!$A$2:$A$68)</f>
        <v>12029</v>
      </c>
      <c r="E168" t="s">
        <v>40</v>
      </c>
      <c r="F168" s="1">
        <v>38542</v>
      </c>
      <c r="G168">
        <v>1800</v>
      </c>
      <c r="H168" t="s">
        <v>41</v>
      </c>
      <c r="I168" t="s">
        <v>40</v>
      </c>
      <c r="J168" t="s">
        <v>40</v>
      </c>
      <c r="K168">
        <v>0</v>
      </c>
      <c r="L168">
        <v>0</v>
      </c>
      <c r="M168">
        <v>3000000</v>
      </c>
      <c r="N168">
        <v>0</v>
      </c>
      <c r="O168" t="s">
        <v>42</v>
      </c>
      <c r="P168" t="s">
        <v>43</v>
      </c>
      <c r="Q168" t="s">
        <v>40</v>
      </c>
      <c r="R168">
        <v>1195140</v>
      </c>
      <c r="S168" t="s">
        <v>44</v>
      </c>
      <c r="T168">
        <v>34</v>
      </c>
      <c r="U168" t="s">
        <v>106</v>
      </c>
      <c r="V168">
        <v>0</v>
      </c>
      <c r="W168">
        <v>0</v>
      </c>
      <c r="X168" t="s">
        <v>67</v>
      </c>
      <c r="Y168" t="s">
        <v>40</v>
      </c>
      <c r="Z168" t="s">
        <v>40</v>
      </c>
      <c r="AA168" t="s">
        <v>40</v>
      </c>
      <c r="AB168" t="s">
        <v>40</v>
      </c>
      <c r="AC168" t="s">
        <v>40</v>
      </c>
      <c r="AD168" t="s">
        <v>40</v>
      </c>
      <c r="AE168" t="s">
        <v>40</v>
      </c>
      <c r="AF168" t="s">
        <v>40</v>
      </c>
      <c r="AG168" s="1">
        <v>38544</v>
      </c>
      <c r="AH168">
        <v>1200</v>
      </c>
      <c r="AI168" t="s">
        <v>40</v>
      </c>
      <c r="AJ168" t="s">
        <v>40</v>
      </c>
      <c r="AK168" t="s">
        <v>40</v>
      </c>
      <c r="AL168" t="s">
        <v>40</v>
      </c>
      <c r="AN168" t="s">
        <v>162</v>
      </c>
      <c r="AO168">
        <v>251</v>
      </c>
    </row>
    <row r="169" spans="1:41" x14ac:dyDescent="0.3">
      <c r="A169">
        <v>5463447</v>
      </c>
      <c r="B169" t="s">
        <v>150</v>
      </c>
      <c r="C169" t="str">
        <f>_xlfn.XLOOKUP(B169,Match!$A$2:$A$111,Match!$B$2:$B$111)</f>
        <v>Washington, FL</v>
      </c>
      <c r="D169">
        <f>_xlfn.XLOOKUP(C169,Validation!$B$2:$B$68,Validation!$A$2:$A$68)</f>
        <v>12133</v>
      </c>
      <c r="E169" t="s">
        <v>40</v>
      </c>
      <c r="F169" s="1">
        <v>38542</v>
      </c>
      <c r="G169">
        <v>1800</v>
      </c>
      <c r="H169" t="s">
        <v>41</v>
      </c>
      <c r="I169" t="s">
        <v>40</v>
      </c>
      <c r="J169" t="s">
        <v>40</v>
      </c>
      <c r="K169">
        <v>0</v>
      </c>
      <c r="L169">
        <v>0</v>
      </c>
      <c r="M169">
        <v>500000</v>
      </c>
      <c r="N169">
        <v>0</v>
      </c>
      <c r="O169" t="s">
        <v>42</v>
      </c>
      <c r="P169" t="s">
        <v>43</v>
      </c>
      <c r="Q169" t="s">
        <v>40</v>
      </c>
      <c r="R169">
        <v>1195140</v>
      </c>
      <c r="S169" t="s">
        <v>44</v>
      </c>
      <c r="T169">
        <v>10</v>
      </c>
      <c r="U169" t="s">
        <v>106</v>
      </c>
      <c r="V169">
        <v>0</v>
      </c>
      <c r="W169">
        <v>0</v>
      </c>
      <c r="X169" t="s">
        <v>67</v>
      </c>
      <c r="Y169" t="s">
        <v>40</v>
      </c>
      <c r="Z169" t="s">
        <v>40</v>
      </c>
      <c r="AA169" t="s">
        <v>40</v>
      </c>
      <c r="AB169" t="s">
        <v>40</v>
      </c>
      <c r="AC169" t="s">
        <v>40</v>
      </c>
      <c r="AD169" t="s">
        <v>40</v>
      </c>
      <c r="AE169" t="s">
        <v>40</v>
      </c>
      <c r="AF169" t="s">
        <v>40</v>
      </c>
      <c r="AG169" s="1">
        <v>38544</v>
      </c>
      <c r="AH169">
        <v>1200</v>
      </c>
      <c r="AI169" t="s">
        <v>40</v>
      </c>
      <c r="AJ169" t="s">
        <v>40</v>
      </c>
      <c r="AK169" t="s">
        <v>40</v>
      </c>
      <c r="AL169" t="s">
        <v>40</v>
      </c>
      <c r="AN169" t="s">
        <v>162</v>
      </c>
      <c r="AO169">
        <v>252</v>
      </c>
    </row>
    <row r="170" spans="1:41" x14ac:dyDescent="0.3">
      <c r="A170">
        <v>5463437</v>
      </c>
      <c r="B170" t="s">
        <v>148</v>
      </c>
      <c r="C170" t="str">
        <f>_xlfn.XLOOKUP(B170,Match!$A$2:$A$111,Match!$B$2:$B$111)</f>
        <v>Holmes, FL</v>
      </c>
      <c r="D170" t="str">
        <f>_xlfn.XLOOKUP(C170,Validation!$B$2:$B$68,Validation!$A$2:$A$68)</f>
        <v>12059</v>
      </c>
      <c r="E170" t="s">
        <v>40</v>
      </c>
      <c r="F170" s="1">
        <v>38542</v>
      </c>
      <c r="G170">
        <v>1800</v>
      </c>
      <c r="H170" t="s">
        <v>41</v>
      </c>
      <c r="I170" t="s">
        <v>40</v>
      </c>
      <c r="J170" t="s">
        <v>40</v>
      </c>
      <c r="K170">
        <v>0</v>
      </c>
      <c r="L170">
        <v>0</v>
      </c>
      <c r="M170">
        <v>600000</v>
      </c>
      <c r="N170">
        <v>0</v>
      </c>
      <c r="O170" t="s">
        <v>42</v>
      </c>
      <c r="P170" t="s">
        <v>43</v>
      </c>
      <c r="Q170" t="s">
        <v>40</v>
      </c>
      <c r="R170">
        <v>1195140</v>
      </c>
      <c r="S170" t="s">
        <v>44</v>
      </c>
      <c r="T170">
        <v>9</v>
      </c>
      <c r="U170" t="s">
        <v>106</v>
      </c>
      <c r="V170">
        <v>0</v>
      </c>
      <c r="W170">
        <v>0</v>
      </c>
      <c r="X170" t="s">
        <v>67</v>
      </c>
      <c r="Y170" t="s">
        <v>40</v>
      </c>
      <c r="Z170" t="s">
        <v>40</v>
      </c>
      <c r="AA170" t="s">
        <v>40</v>
      </c>
      <c r="AB170" t="s">
        <v>40</v>
      </c>
      <c r="AC170" t="s">
        <v>40</v>
      </c>
      <c r="AD170" t="s">
        <v>40</v>
      </c>
      <c r="AE170" t="s">
        <v>40</v>
      </c>
      <c r="AF170" t="s">
        <v>40</v>
      </c>
      <c r="AG170" s="1">
        <v>38544</v>
      </c>
      <c r="AH170">
        <v>1200</v>
      </c>
      <c r="AI170" t="s">
        <v>40</v>
      </c>
      <c r="AJ170" t="s">
        <v>40</v>
      </c>
      <c r="AK170" t="s">
        <v>40</v>
      </c>
      <c r="AL170" t="s">
        <v>40</v>
      </c>
      <c r="AN170" t="s">
        <v>162</v>
      </c>
      <c r="AO170">
        <v>253</v>
      </c>
    </row>
    <row r="171" spans="1:41" x14ac:dyDescent="0.3">
      <c r="A171">
        <v>5463438</v>
      </c>
      <c r="B171" t="s">
        <v>147</v>
      </c>
      <c r="C171" t="str">
        <f>_xlfn.XLOOKUP(B171,Match!$A$2:$A$111,Match!$B$2:$B$111)</f>
        <v>Walton, FL</v>
      </c>
      <c r="D171" t="str">
        <f>_xlfn.XLOOKUP(C171,Validation!$B$2:$B$68,Validation!$A$2:$A$68)</f>
        <v>12131</v>
      </c>
      <c r="E171" t="s">
        <v>40</v>
      </c>
      <c r="F171" s="1">
        <v>38542</v>
      </c>
      <c r="G171">
        <v>1800</v>
      </c>
      <c r="H171" t="s">
        <v>41</v>
      </c>
      <c r="I171" t="s">
        <v>40</v>
      </c>
      <c r="J171" t="s">
        <v>40</v>
      </c>
      <c r="K171">
        <v>0</v>
      </c>
      <c r="L171">
        <v>0</v>
      </c>
      <c r="M171">
        <v>1000000</v>
      </c>
      <c r="N171">
        <v>0</v>
      </c>
      <c r="O171" t="s">
        <v>42</v>
      </c>
      <c r="P171" t="s">
        <v>43</v>
      </c>
      <c r="Q171" t="s">
        <v>40</v>
      </c>
      <c r="R171">
        <v>1195140</v>
      </c>
      <c r="S171" t="s">
        <v>44</v>
      </c>
      <c r="T171">
        <v>7</v>
      </c>
      <c r="U171" t="s">
        <v>106</v>
      </c>
      <c r="V171">
        <v>0</v>
      </c>
      <c r="W171">
        <v>0</v>
      </c>
      <c r="X171" t="s">
        <v>67</v>
      </c>
      <c r="Y171" t="s">
        <v>40</v>
      </c>
      <c r="Z171" t="s">
        <v>40</v>
      </c>
      <c r="AA171" t="s">
        <v>40</v>
      </c>
      <c r="AB171" t="s">
        <v>40</v>
      </c>
      <c r="AC171" t="s">
        <v>40</v>
      </c>
      <c r="AD171" t="s">
        <v>40</v>
      </c>
      <c r="AE171" t="s">
        <v>40</v>
      </c>
      <c r="AF171" t="s">
        <v>40</v>
      </c>
      <c r="AG171" s="1">
        <v>38544</v>
      </c>
      <c r="AH171">
        <v>1200</v>
      </c>
      <c r="AI171" t="s">
        <v>40</v>
      </c>
      <c r="AJ171" t="s">
        <v>40</v>
      </c>
      <c r="AK171" t="s">
        <v>40</v>
      </c>
      <c r="AL171" t="s">
        <v>40</v>
      </c>
      <c r="AN171" t="s">
        <v>162</v>
      </c>
      <c r="AO171">
        <v>254</v>
      </c>
    </row>
    <row r="172" spans="1:41" x14ac:dyDescent="0.3">
      <c r="A172">
        <v>5463439</v>
      </c>
      <c r="B172" t="s">
        <v>151</v>
      </c>
      <c r="C172" t="str">
        <f>_xlfn.XLOOKUP(B172,Match!$A$2:$A$111,Match!$B$2:$B$111)</f>
        <v>Jackson, FL</v>
      </c>
      <c r="D172" t="str">
        <f>_xlfn.XLOOKUP(C172,Validation!$B$2:$B$68,Validation!$A$2:$A$68)</f>
        <v>12063</v>
      </c>
      <c r="E172" t="s">
        <v>40</v>
      </c>
      <c r="F172" s="1">
        <v>38542</v>
      </c>
      <c r="G172">
        <v>1800</v>
      </c>
      <c r="H172" t="s">
        <v>41</v>
      </c>
      <c r="I172" t="s">
        <v>40</v>
      </c>
      <c r="J172" t="s">
        <v>40</v>
      </c>
      <c r="K172">
        <v>0</v>
      </c>
      <c r="L172">
        <v>0</v>
      </c>
      <c r="M172">
        <v>300000</v>
      </c>
      <c r="N172">
        <v>0</v>
      </c>
      <c r="O172" t="s">
        <v>42</v>
      </c>
      <c r="P172" t="s">
        <v>43</v>
      </c>
      <c r="Q172" t="s">
        <v>40</v>
      </c>
      <c r="R172">
        <v>1195140</v>
      </c>
      <c r="S172" t="s">
        <v>44</v>
      </c>
      <c r="T172">
        <v>11</v>
      </c>
      <c r="U172" t="s">
        <v>106</v>
      </c>
      <c r="V172">
        <v>0</v>
      </c>
      <c r="W172">
        <v>0</v>
      </c>
      <c r="X172" t="s">
        <v>67</v>
      </c>
      <c r="Y172" t="s">
        <v>40</v>
      </c>
      <c r="Z172" t="s">
        <v>40</v>
      </c>
      <c r="AA172" t="s">
        <v>40</v>
      </c>
      <c r="AB172" t="s">
        <v>40</v>
      </c>
      <c r="AC172" t="s">
        <v>40</v>
      </c>
      <c r="AD172" t="s">
        <v>40</v>
      </c>
      <c r="AE172" t="s">
        <v>40</v>
      </c>
      <c r="AF172" t="s">
        <v>40</v>
      </c>
      <c r="AG172" s="1">
        <v>38544</v>
      </c>
      <c r="AH172">
        <v>1200</v>
      </c>
      <c r="AI172" t="s">
        <v>40</v>
      </c>
      <c r="AJ172" t="s">
        <v>40</v>
      </c>
      <c r="AK172" t="s">
        <v>40</v>
      </c>
      <c r="AL172" t="s">
        <v>40</v>
      </c>
      <c r="AN172" t="s">
        <v>162</v>
      </c>
      <c r="AO172">
        <v>255</v>
      </c>
    </row>
    <row r="173" spans="1:41" x14ac:dyDescent="0.3">
      <c r="A173">
        <v>5463434</v>
      </c>
      <c r="B173" t="s">
        <v>107</v>
      </c>
      <c r="C173" t="str">
        <f>_xlfn.XLOOKUP(B173,Match!$A$2:$A$111,Match!$B$2:$B$111)</f>
        <v>Franklin, FL</v>
      </c>
      <c r="D173" t="str">
        <f>_xlfn.XLOOKUP(C173,Validation!$B$2:$B$68,Validation!$A$2:$A$68)</f>
        <v>12037</v>
      </c>
      <c r="E173" t="s">
        <v>40</v>
      </c>
      <c r="F173" s="1">
        <v>38542</v>
      </c>
      <c r="G173">
        <v>1800</v>
      </c>
      <c r="H173" t="s">
        <v>41</v>
      </c>
      <c r="I173" t="s">
        <v>40</v>
      </c>
      <c r="J173" t="s">
        <v>40</v>
      </c>
      <c r="K173">
        <v>0</v>
      </c>
      <c r="L173">
        <v>0</v>
      </c>
      <c r="M173">
        <v>10000000</v>
      </c>
      <c r="N173">
        <v>0</v>
      </c>
      <c r="O173" t="s">
        <v>42</v>
      </c>
      <c r="P173" t="s">
        <v>43</v>
      </c>
      <c r="Q173" t="s">
        <v>40</v>
      </c>
      <c r="R173">
        <v>1195140</v>
      </c>
      <c r="S173" t="s">
        <v>44</v>
      </c>
      <c r="T173">
        <v>15</v>
      </c>
      <c r="U173" t="s">
        <v>106</v>
      </c>
      <c r="V173">
        <v>0</v>
      </c>
      <c r="W173">
        <v>0</v>
      </c>
      <c r="X173" t="s">
        <v>67</v>
      </c>
      <c r="Y173" t="s">
        <v>40</v>
      </c>
      <c r="Z173" t="s">
        <v>40</v>
      </c>
      <c r="AA173" t="s">
        <v>40</v>
      </c>
      <c r="AB173" t="s">
        <v>40</v>
      </c>
      <c r="AC173" t="s">
        <v>40</v>
      </c>
      <c r="AD173" t="s">
        <v>40</v>
      </c>
      <c r="AE173" t="s">
        <v>40</v>
      </c>
      <c r="AF173" t="s">
        <v>40</v>
      </c>
      <c r="AG173" s="1">
        <v>38544</v>
      </c>
      <c r="AH173">
        <v>1200</v>
      </c>
      <c r="AI173" t="s">
        <v>40</v>
      </c>
      <c r="AJ173" t="s">
        <v>40</v>
      </c>
      <c r="AK173" t="s">
        <v>40</v>
      </c>
      <c r="AL173" t="s">
        <v>40</v>
      </c>
      <c r="AN173" t="s">
        <v>162</v>
      </c>
      <c r="AO173">
        <v>256</v>
      </c>
    </row>
    <row r="174" spans="1:41" x14ac:dyDescent="0.3">
      <c r="A174">
        <v>5463436</v>
      </c>
      <c r="B174" t="s">
        <v>149</v>
      </c>
      <c r="C174" t="str">
        <f>_xlfn.XLOOKUP(B174,Match!$A$2:$A$111,Match!$B$2:$B$111)</f>
        <v>Gulf, FL</v>
      </c>
      <c r="D174" t="str">
        <f>_xlfn.XLOOKUP(C174,Validation!$B$2:$B$68,Validation!$A$2:$A$68)</f>
        <v>12045</v>
      </c>
      <c r="E174" t="s">
        <v>40</v>
      </c>
      <c r="F174" s="1">
        <v>38542</v>
      </c>
      <c r="G174">
        <v>1800</v>
      </c>
      <c r="H174" t="s">
        <v>41</v>
      </c>
      <c r="I174" t="s">
        <v>40</v>
      </c>
      <c r="J174" t="s">
        <v>40</v>
      </c>
      <c r="K174">
        <v>0</v>
      </c>
      <c r="L174">
        <v>0</v>
      </c>
      <c r="M174">
        <v>9000000</v>
      </c>
      <c r="N174">
        <v>0</v>
      </c>
      <c r="O174" t="s">
        <v>42</v>
      </c>
      <c r="P174" t="s">
        <v>43</v>
      </c>
      <c r="Q174" t="s">
        <v>40</v>
      </c>
      <c r="R174">
        <v>1195140</v>
      </c>
      <c r="S174" t="s">
        <v>44</v>
      </c>
      <c r="T174">
        <v>14</v>
      </c>
      <c r="U174" t="s">
        <v>106</v>
      </c>
      <c r="V174">
        <v>0</v>
      </c>
      <c r="W174">
        <v>0</v>
      </c>
      <c r="X174" t="s">
        <v>67</v>
      </c>
      <c r="Y174" t="s">
        <v>40</v>
      </c>
      <c r="Z174" t="s">
        <v>40</v>
      </c>
      <c r="AA174" t="s">
        <v>40</v>
      </c>
      <c r="AB174" t="s">
        <v>40</v>
      </c>
      <c r="AC174" t="s">
        <v>40</v>
      </c>
      <c r="AD174" t="s">
        <v>40</v>
      </c>
      <c r="AE174" t="s">
        <v>40</v>
      </c>
      <c r="AF174" t="s">
        <v>40</v>
      </c>
      <c r="AG174" s="1">
        <v>38544</v>
      </c>
      <c r="AH174">
        <v>1200</v>
      </c>
      <c r="AI174" t="s">
        <v>40</v>
      </c>
      <c r="AJ174" t="s">
        <v>40</v>
      </c>
      <c r="AK174" t="s">
        <v>40</v>
      </c>
      <c r="AL174" t="s">
        <v>40</v>
      </c>
      <c r="AN174" t="s">
        <v>162</v>
      </c>
      <c r="AO174">
        <v>257</v>
      </c>
    </row>
    <row r="175" spans="1:41" x14ac:dyDescent="0.3">
      <c r="A175">
        <v>5463435</v>
      </c>
      <c r="B175" t="s">
        <v>109</v>
      </c>
      <c r="C175" t="str">
        <f>_xlfn.XLOOKUP(B175,Match!$A$2:$A$111,Match!$B$2:$B$111)</f>
        <v>Gadsden, FL</v>
      </c>
      <c r="D175" t="str">
        <f>_xlfn.XLOOKUP(C175,Validation!$B$2:$B$68,Validation!$A$2:$A$68)</f>
        <v>12039</v>
      </c>
      <c r="E175" t="s">
        <v>40</v>
      </c>
      <c r="F175" s="1">
        <v>38542</v>
      </c>
      <c r="G175">
        <v>1800</v>
      </c>
      <c r="H175" t="s">
        <v>41</v>
      </c>
      <c r="I175" t="s">
        <v>40</v>
      </c>
      <c r="J175" t="s">
        <v>40</v>
      </c>
      <c r="K175">
        <v>0</v>
      </c>
      <c r="L175">
        <v>0</v>
      </c>
      <c r="M175">
        <v>250000</v>
      </c>
      <c r="N175">
        <v>0</v>
      </c>
      <c r="O175" t="s">
        <v>42</v>
      </c>
      <c r="P175" t="s">
        <v>43</v>
      </c>
      <c r="Q175" t="s">
        <v>40</v>
      </c>
      <c r="R175">
        <v>1195140</v>
      </c>
      <c r="S175" t="s">
        <v>44</v>
      </c>
      <c r="T175">
        <v>16</v>
      </c>
      <c r="U175" t="s">
        <v>106</v>
      </c>
      <c r="V175">
        <v>0</v>
      </c>
      <c r="W175">
        <v>0</v>
      </c>
      <c r="X175" t="s">
        <v>67</v>
      </c>
      <c r="Y175" t="s">
        <v>40</v>
      </c>
      <c r="Z175" t="s">
        <v>40</v>
      </c>
      <c r="AA175" t="s">
        <v>40</v>
      </c>
      <c r="AB175" t="s">
        <v>40</v>
      </c>
      <c r="AC175" t="s">
        <v>40</v>
      </c>
      <c r="AD175" t="s">
        <v>40</v>
      </c>
      <c r="AE175" t="s">
        <v>40</v>
      </c>
      <c r="AF175" t="s">
        <v>40</v>
      </c>
      <c r="AG175" s="1">
        <v>38544</v>
      </c>
      <c r="AH175">
        <v>1200</v>
      </c>
      <c r="AI175" t="s">
        <v>40</v>
      </c>
      <c r="AJ175" t="s">
        <v>40</v>
      </c>
      <c r="AK175" t="s">
        <v>40</v>
      </c>
      <c r="AL175" t="s">
        <v>40</v>
      </c>
      <c r="AN175" t="s">
        <v>162</v>
      </c>
      <c r="AO175">
        <v>258</v>
      </c>
    </row>
    <row r="176" spans="1:41" x14ac:dyDescent="0.3">
      <c r="A176">
        <v>5463446</v>
      </c>
      <c r="B176" t="s">
        <v>116</v>
      </c>
      <c r="C176" t="str">
        <f>_xlfn.XLOOKUP(B176,Match!$A$2:$A$111,Match!$B$2:$B$111)</f>
        <v>Wakulla, FL</v>
      </c>
      <c r="D176" t="str">
        <f>_xlfn.XLOOKUP(C176,Validation!$B$2:$B$68,Validation!$A$2:$A$68)</f>
        <v>12129</v>
      </c>
      <c r="E176" t="s">
        <v>40</v>
      </c>
      <c r="F176" s="1">
        <v>38542</v>
      </c>
      <c r="G176">
        <v>1800</v>
      </c>
      <c r="H176" t="s">
        <v>41</v>
      </c>
      <c r="I176" t="s">
        <v>40</v>
      </c>
      <c r="J176" t="s">
        <v>40</v>
      </c>
      <c r="K176">
        <v>0</v>
      </c>
      <c r="L176">
        <v>0</v>
      </c>
      <c r="M176">
        <v>8000000</v>
      </c>
      <c r="N176">
        <v>0</v>
      </c>
      <c r="O176" t="s">
        <v>42</v>
      </c>
      <c r="P176" t="s">
        <v>43</v>
      </c>
      <c r="Q176" t="s">
        <v>40</v>
      </c>
      <c r="R176">
        <v>1195140</v>
      </c>
      <c r="S176" t="s">
        <v>44</v>
      </c>
      <c r="T176">
        <v>27</v>
      </c>
      <c r="U176" t="s">
        <v>106</v>
      </c>
      <c r="V176">
        <v>0</v>
      </c>
      <c r="W176">
        <v>0</v>
      </c>
      <c r="X176" t="s">
        <v>67</v>
      </c>
      <c r="Y176" t="s">
        <v>40</v>
      </c>
      <c r="Z176" t="s">
        <v>40</v>
      </c>
      <c r="AA176" t="s">
        <v>40</v>
      </c>
      <c r="AB176" t="s">
        <v>40</v>
      </c>
      <c r="AC176" t="s">
        <v>40</v>
      </c>
      <c r="AD176" t="s">
        <v>40</v>
      </c>
      <c r="AE176" t="s">
        <v>40</v>
      </c>
      <c r="AF176" t="s">
        <v>40</v>
      </c>
      <c r="AG176" s="1">
        <v>38544</v>
      </c>
      <c r="AH176">
        <v>1200</v>
      </c>
      <c r="AI176" t="s">
        <v>40</v>
      </c>
      <c r="AJ176" t="s">
        <v>40</v>
      </c>
      <c r="AK176" t="s">
        <v>40</v>
      </c>
      <c r="AL176" t="s">
        <v>40</v>
      </c>
      <c r="AN176" t="s">
        <v>162</v>
      </c>
      <c r="AO176">
        <v>259</v>
      </c>
    </row>
    <row r="177" spans="1:41" x14ac:dyDescent="0.3">
      <c r="A177">
        <v>5463432</v>
      </c>
      <c r="B177" t="s">
        <v>153</v>
      </c>
      <c r="C177" t="str">
        <f>_xlfn.XLOOKUP(B177,Match!$A$2:$A$111,Match!$B$2:$B$111)</f>
        <v>Walton, FL</v>
      </c>
      <c r="D177" t="str">
        <f>_xlfn.XLOOKUP(C177,Validation!$B$2:$B$68,Validation!$A$2:$A$68)</f>
        <v>12131</v>
      </c>
      <c r="E177" t="s">
        <v>40</v>
      </c>
      <c r="F177" s="1">
        <v>38542</v>
      </c>
      <c r="G177">
        <v>1800</v>
      </c>
      <c r="H177" t="s">
        <v>41</v>
      </c>
      <c r="I177" t="s">
        <v>40</v>
      </c>
      <c r="J177" t="s">
        <v>40</v>
      </c>
      <c r="K177">
        <v>0</v>
      </c>
      <c r="L177">
        <v>0</v>
      </c>
      <c r="M177">
        <v>11000000</v>
      </c>
      <c r="N177">
        <v>0</v>
      </c>
      <c r="O177" t="s">
        <v>42</v>
      </c>
      <c r="P177" t="s">
        <v>43</v>
      </c>
      <c r="Q177" t="s">
        <v>40</v>
      </c>
      <c r="R177">
        <v>1195140</v>
      </c>
      <c r="S177" t="s">
        <v>44</v>
      </c>
      <c r="T177">
        <v>8</v>
      </c>
      <c r="U177" t="s">
        <v>106</v>
      </c>
      <c r="V177">
        <v>0</v>
      </c>
      <c r="W177">
        <v>0</v>
      </c>
      <c r="X177" t="s">
        <v>67</v>
      </c>
      <c r="Y177" t="s">
        <v>40</v>
      </c>
      <c r="Z177" t="s">
        <v>40</v>
      </c>
      <c r="AA177" t="s">
        <v>40</v>
      </c>
      <c r="AB177" t="s">
        <v>40</v>
      </c>
      <c r="AC177" t="s">
        <v>40</v>
      </c>
      <c r="AD177" t="s">
        <v>40</v>
      </c>
      <c r="AE177" t="s">
        <v>40</v>
      </c>
      <c r="AF177" t="s">
        <v>40</v>
      </c>
      <c r="AG177" s="1">
        <v>38544</v>
      </c>
      <c r="AH177">
        <v>1200</v>
      </c>
      <c r="AI177" t="s">
        <v>40</v>
      </c>
      <c r="AJ177" t="s">
        <v>40</v>
      </c>
      <c r="AK177" t="s">
        <v>40</v>
      </c>
      <c r="AL177" t="s">
        <v>40</v>
      </c>
      <c r="AN177" t="s">
        <v>162</v>
      </c>
      <c r="AO177">
        <v>260</v>
      </c>
    </row>
    <row r="178" spans="1:41" x14ac:dyDescent="0.3">
      <c r="A178">
        <v>5463781</v>
      </c>
      <c r="B178" t="s">
        <v>136</v>
      </c>
      <c r="C178" t="str">
        <f>_xlfn.XLOOKUP(B178,Match!$A$2:$A$111,Match!$B$2:$B$111)</f>
        <v>Escambia, FL</v>
      </c>
      <c r="D178" t="str">
        <f>_xlfn.XLOOKUP(C178,Validation!$B$2:$B$68,Validation!$A$2:$A$68)</f>
        <v>12033</v>
      </c>
      <c r="E178" t="s">
        <v>40</v>
      </c>
      <c r="F178" s="1">
        <v>38543</v>
      </c>
      <c r="G178">
        <v>1300</v>
      </c>
      <c r="H178" t="s">
        <v>41</v>
      </c>
      <c r="I178" t="s">
        <v>40</v>
      </c>
      <c r="J178" t="s">
        <v>40</v>
      </c>
      <c r="K178">
        <v>0</v>
      </c>
      <c r="L178">
        <v>0</v>
      </c>
      <c r="M178">
        <v>0</v>
      </c>
      <c r="N178">
        <v>0</v>
      </c>
      <c r="O178" t="s">
        <v>42</v>
      </c>
      <c r="P178" t="s">
        <v>137</v>
      </c>
      <c r="Q178" t="s">
        <v>40</v>
      </c>
      <c r="R178">
        <v>1194646</v>
      </c>
      <c r="S178" t="s">
        <v>44</v>
      </c>
      <c r="T178">
        <v>1</v>
      </c>
      <c r="U178" t="s">
        <v>138</v>
      </c>
      <c r="V178">
        <v>0</v>
      </c>
      <c r="W178">
        <v>0</v>
      </c>
      <c r="X178" t="s">
        <v>86</v>
      </c>
      <c r="Y178" t="s">
        <v>40</v>
      </c>
      <c r="Z178" t="s">
        <v>40</v>
      </c>
      <c r="AA178" t="s">
        <v>40</v>
      </c>
      <c r="AB178" t="s">
        <v>40</v>
      </c>
      <c r="AC178" t="s">
        <v>40</v>
      </c>
      <c r="AD178" t="s">
        <v>40</v>
      </c>
      <c r="AE178" t="s">
        <v>40</v>
      </c>
      <c r="AF178" t="s">
        <v>40</v>
      </c>
      <c r="AG178" s="1">
        <v>38543</v>
      </c>
      <c r="AH178">
        <v>1515</v>
      </c>
      <c r="AI178" t="s">
        <v>40</v>
      </c>
      <c r="AJ178" t="s">
        <v>40</v>
      </c>
      <c r="AK178" t="s">
        <v>40</v>
      </c>
      <c r="AL178" t="s">
        <v>40</v>
      </c>
      <c r="AN178" t="s">
        <v>163</v>
      </c>
      <c r="AO178">
        <v>261</v>
      </c>
    </row>
    <row r="179" spans="1:41" x14ac:dyDescent="0.3">
      <c r="A179">
        <v>5463782</v>
      </c>
      <c r="B179" t="s">
        <v>140</v>
      </c>
      <c r="C179" t="str">
        <f>_xlfn.XLOOKUP(B179,Match!$A$2:$A$111,Match!$B$2:$B$111)</f>
        <v xml:space="preserve"> Santa Rosa, FL</v>
      </c>
      <c r="D179" t="e">
        <f>_xlfn.XLOOKUP(C179,Validation!$B$2:$B$68,Validation!$A$2:$A$68)</f>
        <v>#N/A</v>
      </c>
      <c r="E179" t="s">
        <v>40</v>
      </c>
      <c r="F179" s="1">
        <v>38543</v>
      </c>
      <c r="G179">
        <v>1300</v>
      </c>
      <c r="H179" t="s">
        <v>41</v>
      </c>
      <c r="I179" t="s">
        <v>40</v>
      </c>
      <c r="J179" t="s">
        <v>40</v>
      </c>
      <c r="K179">
        <v>0</v>
      </c>
      <c r="L179">
        <v>0</v>
      </c>
      <c r="M179">
        <v>0</v>
      </c>
      <c r="N179">
        <v>0</v>
      </c>
      <c r="O179" t="s">
        <v>42</v>
      </c>
      <c r="P179" t="s">
        <v>137</v>
      </c>
      <c r="Q179" t="s">
        <v>40</v>
      </c>
      <c r="R179">
        <v>1194646</v>
      </c>
      <c r="S179" t="s">
        <v>44</v>
      </c>
      <c r="T179">
        <v>4</v>
      </c>
      <c r="U179" t="s">
        <v>138</v>
      </c>
      <c r="V179">
        <v>0</v>
      </c>
      <c r="W179">
        <v>0</v>
      </c>
      <c r="X179" t="s">
        <v>86</v>
      </c>
      <c r="Y179" t="s">
        <v>40</v>
      </c>
      <c r="Z179" t="s">
        <v>40</v>
      </c>
      <c r="AA179" t="s">
        <v>40</v>
      </c>
      <c r="AB179" t="s">
        <v>40</v>
      </c>
      <c r="AC179" t="s">
        <v>40</v>
      </c>
      <c r="AD179" t="s">
        <v>40</v>
      </c>
      <c r="AE179" t="s">
        <v>40</v>
      </c>
      <c r="AF179" t="s">
        <v>40</v>
      </c>
      <c r="AG179" s="1">
        <v>38543</v>
      </c>
      <c r="AH179">
        <v>1515</v>
      </c>
      <c r="AI179" t="s">
        <v>40</v>
      </c>
      <c r="AJ179" t="s">
        <v>40</v>
      </c>
      <c r="AK179" t="s">
        <v>40</v>
      </c>
      <c r="AL179" t="s">
        <v>40</v>
      </c>
      <c r="AN179" t="s">
        <v>163</v>
      </c>
      <c r="AO179">
        <v>262</v>
      </c>
    </row>
    <row r="180" spans="1:41" x14ac:dyDescent="0.3">
      <c r="A180">
        <v>5463783</v>
      </c>
      <c r="B180" t="s">
        <v>143</v>
      </c>
      <c r="C180" t="str">
        <f>_xlfn.XLOOKUP(B180,Match!$A$2:$A$111,Match!$B$2:$B$111)</f>
        <v>Santa Rosa, FL</v>
      </c>
      <c r="D180" t="str">
        <f>_xlfn.XLOOKUP(C180,Validation!$B$2:$B$68,Validation!$A$2:$A$68)</f>
        <v>12113</v>
      </c>
      <c r="E180" t="s">
        <v>40</v>
      </c>
      <c r="F180" s="1">
        <v>38543</v>
      </c>
      <c r="G180">
        <v>1300</v>
      </c>
      <c r="H180" t="s">
        <v>41</v>
      </c>
      <c r="I180" t="s">
        <v>40</v>
      </c>
      <c r="J180" t="s">
        <v>40</v>
      </c>
      <c r="K180">
        <v>0</v>
      </c>
      <c r="L180">
        <v>0</v>
      </c>
      <c r="M180">
        <v>0</v>
      </c>
      <c r="N180">
        <v>0</v>
      </c>
      <c r="O180" t="s">
        <v>42</v>
      </c>
      <c r="P180" t="s">
        <v>137</v>
      </c>
      <c r="Q180" t="s">
        <v>40</v>
      </c>
      <c r="R180">
        <v>1194646</v>
      </c>
      <c r="S180" t="s">
        <v>44</v>
      </c>
      <c r="T180">
        <v>3</v>
      </c>
      <c r="U180" t="s">
        <v>138</v>
      </c>
      <c r="V180">
        <v>0</v>
      </c>
      <c r="W180">
        <v>0</v>
      </c>
      <c r="X180" t="s">
        <v>86</v>
      </c>
      <c r="Y180" t="s">
        <v>40</v>
      </c>
      <c r="Z180" t="s">
        <v>40</v>
      </c>
      <c r="AA180" t="s">
        <v>40</v>
      </c>
      <c r="AB180" t="s">
        <v>40</v>
      </c>
      <c r="AC180" t="s">
        <v>40</v>
      </c>
      <c r="AD180" t="s">
        <v>40</v>
      </c>
      <c r="AE180" t="s">
        <v>40</v>
      </c>
      <c r="AF180" t="s">
        <v>40</v>
      </c>
      <c r="AG180" s="1">
        <v>38543</v>
      </c>
      <c r="AH180">
        <v>1515</v>
      </c>
      <c r="AI180" t="s">
        <v>40</v>
      </c>
      <c r="AJ180" t="s">
        <v>40</v>
      </c>
      <c r="AK180" t="s">
        <v>40</v>
      </c>
      <c r="AL180" t="s">
        <v>40</v>
      </c>
      <c r="AN180" t="s">
        <v>163</v>
      </c>
      <c r="AO180">
        <v>263</v>
      </c>
    </row>
    <row r="181" spans="1:41" x14ac:dyDescent="0.3">
      <c r="A181">
        <v>5463780</v>
      </c>
      <c r="B181" t="s">
        <v>142</v>
      </c>
      <c r="C181" t="str">
        <f>_xlfn.XLOOKUP(B181,Match!$A$2:$A$111,Match!$B$2:$B$111)</f>
        <v>Escambia, FL</v>
      </c>
      <c r="D181" t="str">
        <f>_xlfn.XLOOKUP(C181,Validation!$B$2:$B$68,Validation!$A$2:$A$68)</f>
        <v>12033</v>
      </c>
      <c r="E181" t="s">
        <v>40</v>
      </c>
      <c r="F181" s="1">
        <v>38543</v>
      </c>
      <c r="G181">
        <v>1300</v>
      </c>
      <c r="H181" t="s">
        <v>41</v>
      </c>
      <c r="I181" t="s">
        <v>40</v>
      </c>
      <c r="J181" t="s">
        <v>40</v>
      </c>
      <c r="K181">
        <v>0</v>
      </c>
      <c r="L181">
        <v>0</v>
      </c>
      <c r="M181">
        <v>0</v>
      </c>
      <c r="N181">
        <v>0</v>
      </c>
      <c r="O181" t="s">
        <v>42</v>
      </c>
      <c r="P181" t="s">
        <v>137</v>
      </c>
      <c r="Q181" t="s">
        <v>40</v>
      </c>
      <c r="R181">
        <v>1194646</v>
      </c>
      <c r="S181" t="s">
        <v>44</v>
      </c>
      <c r="T181">
        <v>2</v>
      </c>
      <c r="U181" t="s">
        <v>138</v>
      </c>
      <c r="V181">
        <v>0</v>
      </c>
      <c r="W181">
        <v>0</v>
      </c>
      <c r="X181" t="s">
        <v>86</v>
      </c>
      <c r="Y181" t="s">
        <v>40</v>
      </c>
      <c r="Z181" t="s">
        <v>40</v>
      </c>
      <c r="AA181" t="s">
        <v>40</v>
      </c>
      <c r="AB181" t="s">
        <v>40</v>
      </c>
      <c r="AC181" t="s">
        <v>40</v>
      </c>
      <c r="AD181" t="s">
        <v>40</v>
      </c>
      <c r="AE181" t="s">
        <v>40</v>
      </c>
      <c r="AF181" t="s">
        <v>40</v>
      </c>
      <c r="AG181" s="1">
        <v>38543</v>
      </c>
      <c r="AH181">
        <v>1515</v>
      </c>
      <c r="AI181" t="s">
        <v>40</v>
      </c>
      <c r="AJ181" t="s">
        <v>40</v>
      </c>
      <c r="AK181" t="s">
        <v>40</v>
      </c>
      <c r="AL181" t="s">
        <v>40</v>
      </c>
      <c r="AN181" t="s">
        <v>163</v>
      </c>
      <c r="AO181">
        <v>264</v>
      </c>
    </row>
    <row r="182" spans="1:41" x14ac:dyDescent="0.3">
      <c r="A182">
        <v>5463778</v>
      </c>
      <c r="B182" t="s">
        <v>141</v>
      </c>
      <c r="C182" t="str">
        <f>_xlfn.XLOOKUP(B182,Match!$A$2:$A$111,Match!$B$2:$B$111)</f>
        <v>Okaloosa, FL</v>
      </c>
      <c r="D182" t="str">
        <f>_xlfn.XLOOKUP(C182,Validation!$B$2:$B$68,Validation!$A$2:$A$68)</f>
        <v>12091</v>
      </c>
      <c r="E182" t="s">
        <v>40</v>
      </c>
      <c r="F182" s="1">
        <v>38543</v>
      </c>
      <c r="G182">
        <v>1300</v>
      </c>
      <c r="H182" t="s">
        <v>41</v>
      </c>
      <c r="I182" t="s">
        <v>40</v>
      </c>
      <c r="J182" t="s">
        <v>40</v>
      </c>
      <c r="K182">
        <v>0</v>
      </c>
      <c r="L182">
        <v>0</v>
      </c>
      <c r="M182">
        <v>0</v>
      </c>
      <c r="N182">
        <v>0</v>
      </c>
      <c r="O182" t="s">
        <v>42</v>
      </c>
      <c r="P182" t="s">
        <v>137</v>
      </c>
      <c r="Q182" t="s">
        <v>40</v>
      </c>
      <c r="R182">
        <v>1194645</v>
      </c>
      <c r="S182" t="s">
        <v>44</v>
      </c>
      <c r="T182">
        <v>6</v>
      </c>
      <c r="U182" t="s">
        <v>138</v>
      </c>
      <c r="V182">
        <v>0</v>
      </c>
      <c r="W182">
        <v>0</v>
      </c>
      <c r="X182" t="s">
        <v>86</v>
      </c>
      <c r="Y182" t="s">
        <v>40</v>
      </c>
      <c r="Z182" t="s">
        <v>40</v>
      </c>
      <c r="AA182" t="s">
        <v>40</v>
      </c>
      <c r="AB182" t="s">
        <v>40</v>
      </c>
      <c r="AC182" t="s">
        <v>40</v>
      </c>
      <c r="AD182" t="s">
        <v>40</v>
      </c>
      <c r="AE182" t="s">
        <v>40</v>
      </c>
      <c r="AF182" t="s">
        <v>40</v>
      </c>
      <c r="AG182" s="1">
        <v>38543</v>
      </c>
      <c r="AH182">
        <v>1400</v>
      </c>
      <c r="AI182" t="s">
        <v>40</v>
      </c>
      <c r="AJ182" t="s">
        <v>40</v>
      </c>
      <c r="AK182" t="s">
        <v>40</v>
      </c>
      <c r="AL182" t="s">
        <v>40</v>
      </c>
      <c r="AN182" t="s">
        <v>164</v>
      </c>
      <c r="AO182">
        <v>265</v>
      </c>
    </row>
    <row r="183" spans="1:41" x14ac:dyDescent="0.3">
      <c r="A183">
        <v>5463779</v>
      </c>
      <c r="B183" t="s">
        <v>144</v>
      </c>
      <c r="C183" t="str">
        <f>_xlfn.XLOOKUP(B183,Match!$A$2:$A$111,Match!$B$2:$B$111)</f>
        <v>Okaloosa, FL</v>
      </c>
      <c r="D183" t="str">
        <f>_xlfn.XLOOKUP(C183,Validation!$B$2:$B$68,Validation!$A$2:$A$68)</f>
        <v>12091</v>
      </c>
      <c r="E183" t="s">
        <v>40</v>
      </c>
      <c r="F183" s="1">
        <v>38543</v>
      </c>
      <c r="G183">
        <v>1300</v>
      </c>
      <c r="H183" t="s">
        <v>41</v>
      </c>
      <c r="I183" t="s">
        <v>40</v>
      </c>
      <c r="J183" t="s">
        <v>40</v>
      </c>
      <c r="K183">
        <v>0</v>
      </c>
      <c r="L183">
        <v>0</v>
      </c>
      <c r="M183">
        <v>0</v>
      </c>
      <c r="N183">
        <v>0</v>
      </c>
      <c r="O183" t="s">
        <v>42</v>
      </c>
      <c r="P183" t="s">
        <v>137</v>
      </c>
      <c r="Q183" t="s">
        <v>40</v>
      </c>
      <c r="R183">
        <v>1194645</v>
      </c>
      <c r="S183" t="s">
        <v>44</v>
      </c>
      <c r="T183">
        <v>5</v>
      </c>
      <c r="U183" t="s">
        <v>138</v>
      </c>
      <c r="V183">
        <v>0</v>
      </c>
      <c r="W183">
        <v>0</v>
      </c>
      <c r="X183" t="s">
        <v>86</v>
      </c>
      <c r="Y183" t="s">
        <v>40</v>
      </c>
      <c r="Z183" t="s">
        <v>40</v>
      </c>
      <c r="AA183" t="s">
        <v>40</v>
      </c>
      <c r="AB183" t="s">
        <v>40</v>
      </c>
      <c r="AC183" t="s">
        <v>40</v>
      </c>
      <c r="AD183" t="s">
        <v>40</v>
      </c>
      <c r="AE183" t="s">
        <v>40</v>
      </c>
      <c r="AF183" t="s">
        <v>40</v>
      </c>
      <c r="AG183" s="1">
        <v>38543</v>
      </c>
      <c r="AH183">
        <v>1400</v>
      </c>
      <c r="AI183" t="s">
        <v>40</v>
      </c>
      <c r="AJ183" t="s">
        <v>40</v>
      </c>
      <c r="AK183" t="s">
        <v>40</v>
      </c>
      <c r="AL183" t="s">
        <v>40</v>
      </c>
      <c r="AN183" t="s">
        <v>164</v>
      </c>
      <c r="AO183">
        <v>266</v>
      </c>
    </row>
    <row r="184" spans="1:41" ht="409.6" x14ac:dyDescent="0.3">
      <c r="A184">
        <v>5470155</v>
      </c>
      <c r="B184" t="s">
        <v>39</v>
      </c>
      <c r="C184" t="str">
        <f>_xlfn.XLOOKUP(B184,Match!$A$2:$A$111,Match!$B$2:$B$111)</f>
        <v>Palm Beach, FL</v>
      </c>
      <c r="D184" t="str">
        <f>_xlfn.XLOOKUP(C184,Validation!$B$2:$B$68,Validation!$A$2:$A$68)</f>
        <v>12099</v>
      </c>
      <c r="E184" t="s">
        <v>40</v>
      </c>
      <c r="F184" s="1">
        <v>38589</v>
      </c>
      <c r="G184">
        <v>1200</v>
      </c>
      <c r="H184" t="s">
        <v>41</v>
      </c>
      <c r="I184" t="s">
        <v>40</v>
      </c>
      <c r="J184" t="s">
        <v>40</v>
      </c>
      <c r="K184">
        <v>0</v>
      </c>
      <c r="L184">
        <v>0</v>
      </c>
      <c r="M184">
        <v>0</v>
      </c>
      <c r="N184">
        <v>0</v>
      </c>
      <c r="O184" t="s">
        <v>42</v>
      </c>
      <c r="P184" t="s">
        <v>43</v>
      </c>
      <c r="Q184" t="s">
        <v>40</v>
      </c>
      <c r="R184">
        <v>1196431</v>
      </c>
      <c r="S184" t="s">
        <v>44</v>
      </c>
      <c r="T184">
        <v>68</v>
      </c>
      <c r="U184" t="s">
        <v>45</v>
      </c>
      <c r="V184">
        <v>0</v>
      </c>
      <c r="W184">
        <v>0</v>
      </c>
      <c r="X184" t="s">
        <v>46</v>
      </c>
      <c r="Y184" t="s">
        <v>40</v>
      </c>
      <c r="Z184" t="s">
        <v>40</v>
      </c>
      <c r="AA184" t="s">
        <v>40</v>
      </c>
      <c r="AB184" t="s">
        <v>40</v>
      </c>
      <c r="AC184" t="s">
        <v>40</v>
      </c>
      <c r="AD184" t="s">
        <v>40</v>
      </c>
      <c r="AE184" t="s">
        <v>40</v>
      </c>
      <c r="AF184" t="s">
        <v>40</v>
      </c>
      <c r="AG184" s="1">
        <v>38590</v>
      </c>
      <c r="AH184">
        <v>800</v>
      </c>
      <c r="AI184" t="s">
        <v>40</v>
      </c>
      <c r="AJ184" t="s">
        <v>40</v>
      </c>
      <c r="AK184" t="s">
        <v>40</v>
      </c>
      <c r="AL184" t="s">
        <v>40</v>
      </c>
      <c r="AN184" s="2" t="s">
        <v>165</v>
      </c>
      <c r="AO184">
        <v>267</v>
      </c>
    </row>
    <row r="185" spans="1:41" ht="409.6" x14ac:dyDescent="0.3">
      <c r="A185">
        <v>5470157</v>
      </c>
      <c r="B185" t="s">
        <v>48</v>
      </c>
      <c r="C185" t="str">
        <f>_xlfn.XLOOKUP(B185,Match!$A$2:$A$111,Match!$B$2:$B$111)</f>
        <v>Miami-Dade, FL</v>
      </c>
      <c r="D185" t="str">
        <f>_xlfn.XLOOKUP(C185,Validation!$B$2:$B$68,Validation!$A$2:$A$68)</f>
        <v>12086</v>
      </c>
      <c r="E185" t="s">
        <v>40</v>
      </c>
      <c r="F185" s="1">
        <v>38589</v>
      </c>
      <c r="G185">
        <v>1200</v>
      </c>
      <c r="H185" t="s">
        <v>41</v>
      </c>
      <c r="I185" t="s">
        <v>40</v>
      </c>
      <c r="J185" t="s">
        <v>40</v>
      </c>
      <c r="K185">
        <v>6</v>
      </c>
      <c r="L185">
        <v>0</v>
      </c>
      <c r="M185">
        <v>64000000</v>
      </c>
      <c r="N185">
        <v>423000000</v>
      </c>
      <c r="O185" t="s">
        <v>42</v>
      </c>
      <c r="P185" t="s">
        <v>43</v>
      </c>
      <c r="Q185" t="s">
        <v>40</v>
      </c>
      <c r="R185">
        <v>1196431</v>
      </c>
      <c r="S185" t="s">
        <v>44</v>
      </c>
      <c r="T185">
        <v>74</v>
      </c>
      <c r="U185" t="s">
        <v>45</v>
      </c>
      <c r="V185">
        <v>0</v>
      </c>
      <c r="W185">
        <v>0</v>
      </c>
      <c r="X185" t="s">
        <v>46</v>
      </c>
      <c r="Y185" t="s">
        <v>40</v>
      </c>
      <c r="Z185" t="s">
        <v>40</v>
      </c>
      <c r="AA185" t="s">
        <v>40</v>
      </c>
      <c r="AB185" t="s">
        <v>40</v>
      </c>
      <c r="AC185" t="s">
        <v>40</v>
      </c>
      <c r="AD185" t="s">
        <v>40</v>
      </c>
      <c r="AE185" t="s">
        <v>40</v>
      </c>
      <c r="AF185" t="s">
        <v>40</v>
      </c>
      <c r="AG185" s="1">
        <v>38590</v>
      </c>
      <c r="AH185">
        <v>800</v>
      </c>
      <c r="AI185" t="s">
        <v>40</v>
      </c>
      <c r="AJ185" t="s">
        <v>40</v>
      </c>
      <c r="AK185" t="s">
        <v>40</v>
      </c>
      <c r="AL185" t="s">
        <v>40</v>
      </c>
      <c r="AN185" s="2" t="s">
        <v>165</v>
      </c>
      <c r="AO185">
        <v>268</v>
      </c>
    </row>
    <row r="186" spans="1:41" ht="409.6" x14ac:dyDescent="0.3">
      <c r="A186">
        <v>5470156</v>
      </c>
      <c r="B186" t="s">
        <v>52</v>
      </c>
      <c r="C186" t="str">
        <f>_xlfn.XLOOKUP(B186,Match!$A$2:$A$111,Match!$B$2:$B$111)</f>
        <v>Broward, FL</v>
      </c>
      <c r="D186" t="str">
        <f>_xlfn.XLOOKUP(C186,Validation!$B$2:$B$68,Validation!$A$2:$A$68)</f>
        <v>12011</v>
      </c>
      <c r="E186" t="s">
        <v>40</v>
      </c>
      <c r="F186" s="1">
        <v>38589</v>
      </c>
      <c r="G186">
        <v>1200</v>
      </c>
      <c r="H186" t="s">
        <v>41</v>
      </c>
      <c r="I186" t="s">
        <v>40</v>
      </c>
      <c r="J186" t="s">
        <v>40</v>
      </c>
      <c r="K186">
        <v>0</v>
      </c>
      <c r="L186">
        <v>0</v>
      </c>
      <c r="M186">
        <v>36000000</v>
      </c>
      <c r="N186">
        <v>0</v>
      </c>
      <c r="O186" t="s">
        <v>42</v>
      </c>
      <c r="P186" t="s">
        <v>43</v>
      </c>
      <c r="Q186" t="s">
        <v>40</v>
      </c>
      <c r="R186">
        <v>1196431</v>
      </c>
      <c r="S186" t="s">
        <v>44</v>
      </c>
      <c r="T186">
        <v>72</v>
      </c>
      <c r="U186" t="s">
        <v>45</v>
      </c>
      <c r="V186">
        <v>0</v>
      </c>
      <c r="W186">
        <v>0</v>
      </c>
      <c r="X186" t="s">
        <v>46</v>
      </c>
      <c r="Y186" t="s">
        <v>40</v>
      </c>
      <c r="Z186" t="s">
        <v>40</v>
      </c>
      <c r="AA186" t="s">
        <v>40</v>
      </c>
      <c r="AB186" t="s">
        <v>40</v>
      </c>
      <c r="AC186" t="s">
        <v>40</v>
      </c>
      <c r="AD186" t="s">
        <v>40</v>
      </c>
      <c r="AE186" t="s">
        <v>40</v>
      </c>
      <c r="AF186" t="s">
        <v>40</v>
      </c>
      <c r="AG186" s="1">
        <v>38590</v>
      </c>
      <c r="AH186">
        <v>800</v>
      </c>
      <c r="AI186" t="s">
        <v>40</v>
      </c>
      <c r="AJ186" t="s">
        <v>40</v>
      </c>
      <c r="AK186" t="s">
        <v>40</v>
      </c>
      <c r="AL186" t="s">
        <v>40</v>
      </c>
      <c r="AN186" s="2" t="s">
        <v>165</v>
      </c>
      <c r="AO186">
        <v>269</v>
      </c>
    </row>
    <row r="187" spans="1:41" x14ac:dyDescent="0.3">
      <c r="A187">
        <v>5474301</v>
      </c>
      <c r="B187" t="s">
        <v>84</v>
      </c>
      <c r="C187" t="str">
        <f>_xlfn.XLOOKUP(B187,Match!$A$2:$A$111,Match!$B$2:$B$111)</f>
        <v>Monroe, FL</v>
      </c>
      <c r="D187" t="str">
        <f>_xlfn.XLOOKUP(C187,Validation!$B$2:$B$68,Validation!$A$2:$A$68)</f>
        <v>12087</v>
      </c>
      <c r="E187" t="s">
        <v>40</v>
      </c>
      <c r="F187" s="1">
        <v>38590</v>
      </c>
      <c r="G187">
        <v>800</v>
      </c>
      <c r="H187" t="s">
        <v>41</v>
      </c>
      <c r="I187" t="s">
        <v>40</v>
      </c>
      <c r="J187" t="s">
        <v>40</v>
      </c>
      <c r="K187">
        <v>0</v>
      </c>
      <c r="L187">
        <v>0</v>
      </c>
      <c r="M187">
        <v>1000000</v>
      </c>
      <c r="N187">
        <v>0</v>
      </c>
      <c r="O187" t="s">
        <v>42</v>
      </c>
      <c r="P187" t="s">
        <v>43</v>
      </c>
      <c r="Q187" t="s">
        <v>40</v>
      </c>
      <c r="R187">
        <v>1198872</v>
      </c>
      <c r="S187" t="s">
        <v>44</v>
      </c>
      <c r="T187">
        <v>78</v>
      </c>
      <c r="U187" t="s">
        <v>85</v>
      </c>
      <c r="V187">
        <v>0</v>
      </c>
      <c r="W187">
        <v>0</v>
      </c>
      <c r="X187" t="s">
        <v>86</v>
      </c>
      <c r="Y187" t="s">
        <v>40</v>
      </c>
      <c r="Z187" t="s">
        <v>40</v>
      </c>
      <c r="AA187" t="s">
        <v>40</v>
      </c>
      <c r="AB187" t="s">
        <v>40</v>
      </c>
      <c r="AC187" t="s">
        <v>40</v>
      </c>
      <c r="AD187" t="s">
        <v>40</v>
      </c>
      <c r="AE187" t="s">
        <v>40</v>
      </c>
      <c r="AF187" t="s">
        <v>40</v>
      </c>
      <c r="AG187" s="1">
        <v>38591</v>
      </c>
      <c r="AH187">
        <v>0</v>
      </c>
      <c r="AI187" t="s">
        <v>40</v>
      </c>
      <c r="AJ187" t="s">
        <v>40</v>
      </c>
      <c r="AK187" t="s">
        <v>40</v>
      </c>
      <c r="AL187" t="s">
        <v>40</v>
      </c>
      <c r="AM187" t="s">
        <v>166</v>
      </c>
      <c r="AO187">
        <v>270</v>
      </c>
    </row>
    <row r="188" spans="1:41" x14ac:dyDescent="0.3">
      <c r="A188">
        <v>5474303</v>
      </c>
      <c r="B188" t="s">
        <v>88</v>
      </c>
      <c r="C188" t="str">
        <f>_xlfn.XLOOKUP(B188,Match!$A$2:$A$111,Match!$B$2:$B$111)</f>
        <v>Monroe, FL</v>
      </c>
      <c r="D188" t="str">
        <f>_xlfn.XLOOKUP(C188,Validation!$B$2:$B$68,Validation!$A$2:$A$68)</f>
        <v>12087</v>
      </c>
      <c r="E188" t="s">
        <v>40</v>
      </c>
      <c r="F188" s="1">
        <v>38590</v>
      </c>
      <c r="G188">
        <v>800</v>
      </c>
      <c r="H188" t="s">
        <v>41</v>
      </c>
      <c r="I188" t="s">
        <v>40</v>
      </c>
      <c r="J188" t="s">
        <v>40</v>
      </c>
      <c r="K188">
        <v>0</v>
      </c>
      <c r="L188">
        <v>0</v>
      </c>
      <c r="M188">
        <v>400000</v>
      </c>
      <c r="N188">
        <v>0</v>
      </c>
      <c r="O188" t="s">
        <v>42</v>
      </c>
      <c r="P188" t="s">
        <v>43</v>
      </c>
      <c r="Q188" t="s">
        <v>40</v>
      </c>
      <c r="R188">
        <v>1198872</v>
      </c>
      <c r="S188" t="s">
        <v>44</v>
      </c>
      <c r="T188">
        <v>76</v>
      </c>
      <c r="U188" t="s">
        <v>85</v>
      </c>
      <c r="V188">
        <v>0</v>
      </c>
      <c r="W188">
        <v>0</v>
      </c>
      <c r="X188" t="s">
        <v>86</v>
      </c>
      <c r="Y188" t="s">
        <v>40</v>
      </c>
      <c r="Z188" t="s">
        <v>40</v>
      </c>
      <c r="AA188" t="s">
        <v>40</v>
      </c>
      <c r="AB188" t="s">
        <v>40</v>
      </c>
      <c r="AC188" t="s">
        <v>40</v>
      </c>
      <c r="AD188" t="s">
        <v>40</v>
      </c>
      <c r="AE188" t="s">
        <v>40</v>
      </c>
      <c r="AF188" t="s">
        <v>40</v>
      </c>
      <c r="AG188" s="1">
        <v>38591</v>
      </c>
      <c r="AH188">
        <v>0</v>
      </c>
      <c r="AI188" t="s">
        <v>40</v>
      </c>
      <c r="AJ188" t="s">
        <v>40</v>
      </c>
      <c r="AK188" t="s">
        <v>40</v>
      </c>
      <c r="AL188" t="s">
        <v>40</v>
      </c>
      <c r="AM188" t="s">
        <v>167</v>
      </c>
      <c r="AO188">
        <v>271</v>
      </c>
    </row>
    <row r="189" spans="1:41" x14ac:dyDescent="0.3">
      <c r="A189">
        <v>5474302</v>
      </c>
      <c r="B189" t="s">
        <v>87</v>
      </c>
      <c r="C189" t="str">
        <f>_xlfn.XLOOKUP(B189,Match!$A$2:$A$111,Match!$B$2:$B$111)</f>
        <v>Monroe, FL</v>
      </c>
      <c r="D189" t="str">
        <f>_xlfn.XLOOKUP(C189,Validation!$B$2:$B$68,Validation!$A$2:$A$68)</f>
        <v>12087</v>
      </c>
      <c r="E189" t="s">
        <v>40</v>
      </c>
      <c r="F189" s="1">
        <v>38590</v>
      </c>
      <c r="G189">
        <v>800</v>
      </c>
      <c r="H189" t="s">
        <v>41</v>
      </c>
      <c r="I189" t="s">
        <v>40</v>
      </c>
      <c r="J189" t="s">
        <v>40</v>
      </c>
      <c r="K189">
        <v>0</v>
      </c>
      <c r="L189">
        <v>0</v>
      </c>
      <c r="M189">
        <v>5500000</v>
      </c>
      <c r="N189">
        <v>0</v>
      </c>
      <c r="O189" t="s">
        <v>42</v>
      </c>
      <c r="P189" t="s">
        <v>43</v>
      </c>
      <c r="Q189" t="s">
        <v>40</v>
      </c>
      <c r="R189">
        <v>1198872</v>
      </c>
      <c r="S189" t="s">
        <v>44</v>
      </c>
      <c r="T189">
        <v>77</v>
      </c>
      <c r="U189" t="s">
        <v>85</v>
      </c>
      <c r="V189">
        <v>0</v>
      </c>
      <c r="W189">
        <v>0</v>
      </c>
      <c r="X189" t="s">
        <v>86</v>
      </c>
      <c r="Y189" t="s">
        <v>40</v>
      </c>
      <c r="Z189" t="s">
        <v>40</v>
      </c>
      <c r="AA189" t="s">
        <v>40</v>
      </c>
      <c r="AB189" t="s">
        <v>40</v>
      </c>
      <c r="AC189" t="s">
        <v>40</v>
      </c>
      <c r="AD189" t="s">
        <v>40</v>
      </c>
      <c r="AE189" t="s">
        <v>40</v>
      </c>
      <c r="AF189" t="s">
        <v>40</v>
      </c>
      <c r="AG189" s="1">
        <v>38591</v>
      </c>
      <c r="AH189">
        <v>0</v>
      </c>
      <c r="AI189" t="s">
        <v>40</v>
      </c>
      <c r="AJ189" t="s">
        <v>40</v>
      </c>
      <c r="AK189" t="s">
        <v>40</v>
      </c>
      <c r="AL189" t="s">
        <v>40</v>
      </c>
      <c r="AM189" t="s">
        <v>168</v>
      </c>
      <c r="AO189">
        <v>272</v>
      </c>
    </row>
    <row r="190" spans="1:41" x14ac:dyDescent="0.3">
      <c r="A190">
        <v>5471180</v>
      </c>
      <c r="B190" t="s">
        <v>107</v>
      </c>
      <c r="C190" t="str">
        <f>_xlfn.XLOOKUP(B190,Match!$A$2:$A$111,Match!$B$2:$B$111)</f>
        <v>Franklin, FL</v>
      </c>
      <c r="D190" t="str">
        <f>_xlfn.XLOOKUP(C190,Validation!$B$2:$B$68,Validation!$A$2:$A$68)</f>
        <v>12037</v>
      </c>
      <c r="E190" t="s">
        <v>40</v>
      </c>
      <c r="F190" s="1">
        <v>38592</v>
      </c>
      <c r="G190">
        <v>1800</v>
      </c>
      <c r="H190" t="s">
        <v>41</v>
      </c>
      <c r="I190" t="s">
        <v>40</v>
      </c>
      <c r="J190" t="s">
        <v>40</v>
      </c>
      <c r="K190">
        <v>0</v>
      </c>
      <c r="L190">
        <v>0</v>
      </c>
      <c r="M190">
        <v>200000</v>
      </c>
      <c r="N190">
        <v>0</v>
      </c>
      <c r="O190" t="s">
        <v>42</v>
      </c>
      <c r="P190" t="s">
        <v>43</v>
      </c>
      <c r="Q190" t="s">
        <v>40</v>
      </c>
      <c r="R190">
        <v>1198354</v>
      </c>
      <c r="S190" t="s">
        <v>44</v>
      </c>
      <c r="T190">
        <v>15</v>
      </c>
      <c r="U190" t="s">
        <v>106</v>
      </c>
      <c r="V190">
        <v>0</v>
      </c>
      <c r="W190">
        <v>0</v>
      </c>
      <c r="X190" t="s">
        <v>67</v>
      </c>
      <c r="Y190" t="s">
        <v>40</v>
      </c>
      <c r="Z190" t="s">
        <v>40</v>
      </c>
      <c r="AA190" t="s">
        <v>40</v>
      </c>
      <c r="AB190" t="s">
        <v>40</v>
      </c>
      <c r="AC190" t="s">
        <v>40</v>
      </c>
      <c r="AD190" t="s">
        <v>40</v>
      </c>
      <c r="AE190" t="s">
        <v>40</v>
      </c>
      <c r="AF190" t="s">
        <v>40</v>
      </c>
      <c r="AG190" s="1">
        <v>38594</v>
      </c>
      <c r="AH190">
        <v>0</v>
      </c>
      <c r="AI190" t="s">
        <v>40</v>
      </c>
      <c r="AJ190" t="s">
        <v>40</v>
      </c>
      <c r="AK190" t="s">
        <v>40</v>
      </c>
      <c r="AL190" t="s">
        <v>40</v>
      </c>
      <c r="AN190" t="s">
        <v>169</v>
      </c>
      <c r="AO190">
        <v>273</v>
      </c>
    </row>
    <row r="191" spans="1:41" x14ac:dyDescent="0.3">
      <c r="A191">
        <v>5471179</v>
      </c>
      <c r="B191" t="s">
        <v>105</v>
      </c>
      <c r="C191" t="str">
        <f>_xlfn.XLOOKUP(B191,Match!$A$2:$A$111,Match!$B$2:$B$111)</f>
        <v>Dixie, FL</v>
      </c>
      <c r="D191" t="str">
        <f>_xlfn.XLOOKUP(C191,Validation!$B$2:$B$68,Validation!$A$2:$A$68)</f>
        <v>12029</v>
      </c>
      <c r="E191" t="s">
        <v>40</v>
      </c>
      <c r="F191" s="1">
        <v>38592</v>
      </c>
      <c r="G191">
        <v>1800</v>
      </c>
      <c r="H191" t="s">
        <v>41</v>
      </c>
      <c r="I191" t="s">
        <v>40</v>
      </c>
      <c r="J191" t="s">
        <v>40</v>
      </c>
      <c r="K191">
        <v>0</v>
      </c>
      <c r="L191">
        <v>0</v>
      </c>
      <c r="M191">
        <v>0</v>
      </c>
      <c r="N191">
        <v>0</v>
      </c>
      <c r="O191" t="s">
        <v>42</v>
      </c>
      <c r="P191" t="s">
        <v>43</v>
      </c>
      <c r="Q191" t="s">
        <v>40</v>
      </c>
      <c r="R191">
        <v>1198354</v>
      </c>
      <c r="S191" t="s">
        <v>44</v>
      </c>
      <c r="T191">
        <v>34</v>
      </c>
      <c r="U191" t="s">
        <v>106</v>
      </c>
      <c r="V191">
        <v>0</v>
      </c>
      <c r="W191">
        <v>0</v>
      </c>
      <c r="X191" t="s">
        <v>67</v>
      </c>
      <c r="Y191" t="s">
        <v>40</v>
      </c>
      <c r="Z191" t="s">
        <v>40</v>
      </c>
      <c r="AA191" t="s">
        <v>40</v>
      </c>
      <c r="AB191" t="s">
        <v>40</v>
      </c>
      <c r="AC191" t="s">
        <v>40</v>
      </c>
      <c r="AD191" t="s">
        <v>40</v>
      </c>
      <c r="AE191" t="s">
        <v>40</v>
      </c>
      <c r="AF191" t="s">
        <v>40</v>
      </c>
      <c r="AG191" s="1">
        <v>38594</v>
      </c>
      <c r="AH191">
        <v>0</v>
      </c>
      <c r="AI191" t="s">
        <v>40</v>
      </c>
      <c r="AJ191" t="s">
        <v>40</v>
      </c>
      <c r="AK191" t="s">
        <v>40</v>
      </c>
      <c r="AL191" t="s">
        <v>40</v>
      </c>
      <c r="AN191" t="s">
        <v>169</v>
      </c>
      <c r="AO191">
        <v>274</v>
      </c>
    </row>
    <row r="192" spans="1:41" x14ac:dyDescent="0.3">
      <c r="A192">
        <v>5471182</v>
      </c>
      <c r="B192" t="s">
        <v>115</v>
      </c>
      <c r="C192" t="str">
        <f>_xlfn.XLOOKUP(B192,Match!$A$2:$A$111,Match!$B$2:$B$111)</f>
        <v>Taylor, FL</v>
      </c>
      <c r="D192" t="str">
        <f>_xlfn.XLOOKUP(C192,Validation!$B$2:$B$68,Validation!$A$2:$A$68)</f>
        <v>12123</v>
      </c>
      <c r="E192" t="s">
        <v>40</v>
      </c>
      <c r="F192" s="1">
        <v>38592</v>
      </c>
      <c r="G192">
        <v>1800</v>
      </c>
      <c r="H192" t="s">
        <v>41</v>
      </c>
      <c r="I192" t="s">
        <v>40</v>
      </c>
      <c r="J192" t="s">
        <v>40</v>
      </c>
      <c r="K192">
        <v>0</v>
      </c>
      <c r="L192">
        <v>0</v>
      </c>
      <c r="M192">
        <v>0</v>
      </c>
      <c r="N192">
        <v>0</v>
      </c>
      <c r="O192" t="s">
        <v>42</v>
      </c>
      <c r="P192" t="s">
        <v>43</v>
      </c>
      <c r="Q192" t="s">
        <v>40</v>
      </c>
      <c r="R192">
        <v>1198354</v>
      </c>
      <c r="S192" t="s">
        <v>44</v>
      </c>
      <c r="T192">
        <v>28</v>
      </c>
      <c r="U192" t="s">
        <v>106</v>
      </c>
      <c r="V192">
        <v>0</v>
      </c>
      <c r="W192">
        <v>0</v>
      </c>
      <c r="X192" t="s">
        <v>67</v>
      </c>
      <c r="Y192" t="s">
        <v>40</v>
      </c>
      <c r="Z192" t="s">
        <v>40</v>
      </c>
      <c r="AA192" t="s">
        <v>40</v>
      </c>
      <c r="AB192" t="s">
        <v>40</v>
      </c>
      <c r="AC192" t="s">
        <v>40</v>
      </c>
      <c r="AD192" t="s">
        <v>40</v>
      </c>
      <c r="AE192" t="s">
        <v>40</v>
      </c>
      <c r="AF192" t="s">
        <v>40</v>
      </c>
      <c r="AG192" s="1">
        <v>38594</v>
      </c>
      <c r="AH192">
        <v>0</v>
      </c>
      <c r="AI192" t="s">
        <v>40</v>
      </c>
      <c r="AJ192" t="s">
        <v>40</v>
      </c>
      <c r="AK192" t="s">
        <v>40</v>
      </c>
      <c r="AL192" t="s">
        <v>40</v>
      </c>
      <c r="AN192" t="s">
        <v>169</v>
      </c>
      <c r="AO192">
        <v>275</v>
      </c>
    </row>
    <row r="193" spans="1:45" x14ac:dyDescent="0.3">
      <c r="A193">
        <v>5471183</v>
      </c>
      <c r="B193" t="s">
        <v>116</v>
      </c>
      <c r="C193" t="str">
        <f>_xlfn.XLOOKUP(B193,Match!$A$2:$A$111,Match!$B$2:$B$111)</f>
        <v>Wakulla, FL</v>
      </c>
      <c r="D193" t="str">
        <f>_xlfn.XLOOKUP(C193,Validation!$B$2:$B$68,Validation!$A$2:$A$68)</f>
        <v>12129</v>
      </c>
      <c r="E193" t="s">
        <v>40</v>
      </c>
      <c r="F193" s="1">
        <v>38592</v>
      </c>
      <c r="G193">
        <v>1800</v>
      </c>
      <c r="H193" t="s">
        <v>41</v>
      </c>
      <c r="I193" t="s">
        <v>40</v>
      </c>
      <c r="J193" t="s">
        <v>40</v>
      </c>
      <c r="K193">
        <v>0</v>
      </c>
      <c r="L193">
        <v>0</v>
      </c>
      <c r="M193">
        <v>200000</v>
      </c>
      <c r="N193">
        <v>0</v>
      </c>
      <c r="O193" t="s">
        <v>42</v>
      </c>
      <c r="P193" t="s">
        <v>43</v>
      </c>
      <c r="Q193" t="s">
        <v>40</v>
      </c>
      <c r="R193">
        <v>1198354</v>
      </c>
      <c r="S193" t="s">
        <v>44</v>
      </c>
      <c r="T193">
        <v>27</v>
      </c>
      <c r="U193" t="s">
        <v>106</v>
      </c>
      <c r="V193">
        <v>0</v>
      </c>
      <c r="W193">
        <v>0</v>
      </c>
      <c r="X193" t="s">
        <v>67</v>
      </c>
      <c r="Y193" t="s">
        <v>40</v>
      </c>
      <c r="Z193" t="s">
        <v>40</v>
      </c>
      <c r="AA193" t="s">
        <v>40</v>
      </c>
      <c r="AB193" t="s">
        <v>40</v>
      </c>
      <c r="AC193" t="s">
        <v>40</v>
      </c>
      <c r="AD193" t="s">
        <v>40</v>
      </c>
      <c r="AE193" t="s">
        <v>40</v>
      </c>
      <c r="AF193" t="s">
        <v>40</v>
      </c>
      <c r="AG193" s="1">
        <v>38594</v>
      </c>
      <c r="AH193">
        <v>0</v>
      </c>
      <c r="AI193" t="s">
        <v>40</v>
      </c>
      <c r="AJ193" t="s">
        <v>40</v>
      </c>
      <c r="AK193" t="s">
        <v>40</v>
      </c>
      <c r="AL193" t="s">
        <v>40</v>
      </c>
      <c r="AN193" t="s">
        <v>169</v>
      </c>
      <c r="AO193">
        <v>276</v>
      </c>
    </row>
    <row r="194" spans="1:45" x14ac:dyDescent="0.3">
      <c r="A194">
        <v>5471181</v>
      </c>
      <c r="B194" t="s">
        <v>149</v>
      </c>
      <c r="C194" t="str">
        <f>_xlfn.XLOOKUP(B194,Match!$A$2:$A$111,Match!$B$2:$B$111)</f>
        <v>Gulf, FL</v>
      </c>
      <c r="D194" t="str">
        <f>_xlfn.XLOOKUP(C194,Validation!$B$2:$B$68,Validation!$A$2:$A$68)</f>
        <v>12045</v>
      </c>
      <c r="E194" t="s">
        <v>40</v>
      </c>
      <c r="F194" s="1">
        <v>38592</v>
      </c>
      <c r="G194">
        <v>1800</v>
      </c>
      <c r="H194" t="s">
        <v>41</v>
      </c>
      <c r="I194" t="s">
        <v>40</v>
      </c>
      <c r="J194" t="s">
        <v>40</v>
      </c>
      <c r="K194">
        <v>0</v>
      </c>
      <c r="L194">
        <v>0</v>
      </c>
      <c r="M194">
        <v>300000</v>
      </c>
      <c r="N194">
        <v>0</v>
      </c>
      <c r="O194" t="s">
        <v>42</v>
      </c>
      <c r="P194" t="s">
        <v>43</v>
      </c>
      <c r="Q194" t="s">
        <v>40</v>
      </c>
      <c r="R194">
        <v>1198354</v>
      </c>
      <c r="S194" t="s">
        <v>44</v>
      </c>
      <c r="T194">
        <v>14</v>
      </c>
      <c r="U194" t="s">
        <v>106</v>
      </c>
      <c r="V194">
        <v>0</v>
      </c>
      <c r="W194">
        <v>0</v>
      </c>
      <c r="X194" t="s">
        <v>67</v>
      </c>
      <c r="Y194" t="s">
        <v>40</v>
      </c>
      <c r="Z194" t="s">
        <v>40</v>
      </c>
      <c r="AA194" t="s">
        <v>40</v>
      </c>
      <c r="AB194" t="s">
        <v>40</v>
      </c>
      <c r="AC194" t="s">
        <v>40</v>
      </c>
      <c r="AD194" t="s">
        <v>40</v>
      </c>
      <c r="AE194" t="s">
        <v>40</v>
      </c>
      <c r="AF194" t="s">
        <v>40</v>
      </c>
      <c r="AG194" s="1">
        <v>38594</v>
      </c>
      <c r="AH194">
        <v>0</v>
      </c>
      <c r="AI194" t="s">
        <v>40</v>
      </c>
      <c r="AJ194" t="s">
        <v>40</v>
      </c>
      <c r="AK194" t="s">
        <v>40</v>
      </c>
      <c r="AL194" t="s">
        <v>40</v>
      </c>
      <c r="AN194" t="s">
        <v>169</v>
      </c>
      <c r="AO194">
        <v>277</v>
      </c>
    </row>
    <row r="195" spans="1:45" x14ac:dyDescent="0.3">
      <c r="A195">
        <v>5471177</v>
      </c>
      <c r="B195" t="s">
        <v>145</v>
      </c>
      <c r="C195" t="str">
        <f>_xlfn.XLOOKUP(B195,Match!$A$2:$A$111,Match!$B$2:$B$111)</f>
        <v>Bay, FL</v>
      </c>
      <c r="D195" t="str">
        <f>_xlfn.XLOOKUP(C195,Validation!$B$2:$B$68,Validation!$A$2:$A$68)</f>
        <v>12005</v>
      </c>
      <c r="E195" t="s">
        <v>40</v>
      </c>
      <c r="F195" s="1">
        <v>38592</v>
      </c>
      <c r="G195">
        <v>1800</v>
      </c>
      <c r="H195" t="s">
        <v>41</v>
      </c>
      <c r="I195" t="s">
        <v>40</v>
      </c>
      <c r="J195" t="s">
        <v>40</v>
      </c>
      <c r="K195">
        <v>0</v>
      </c>
      <c r="L195">
        <v>0</v>
      </c>
      <c r="M195">
        <v>250000</v>
      </c>
      <c r="N195">
        <v>0</v>
      </c>
      <c r="O195" t="s">
        <v>42</v>
      </c>
      <c r="P195" t="s">
        <v>43</v>
      </c>
      <c r="Q195" t="s">
        <v>40</v>
      </c>
      <c r="R195">
        <v>1198354</v>
      </c>
      <c r="S195" t="s">
        <v>44</v>
      </c>
      <c r="T195">
        <v>12</v>
      </c>
      <c r="U195" t="s">
        <v>106</v>
      </c>
      <c r="V195">
        <v>0</v>
      </c>
      <c r="W195">
        <v>0</v>
      </c>
      <c r="X195" t="s">
        <v>67</v>
      </c>
      <c r="Y195" t="s">
        <v>40</v>
      </c>
      <c r="Z195" t="s">
        <v>40</v>
      </c>
      <c r="AA195" t="s">
        <v>40</v>
      </c>
      <c r="AB195" t="s">
        <v>40</v>
      </c>
      <c r="AC195" t="s">
        <v>40</v>
      </c>
      <c r="AD195" t="s">
        <v>40</v>
      </c>
      <c r="AE195" t="s">
        <v>40</v>
      </c>
      <c r="AF195" t="s">
        <v>40</v>
      </c>
      <c r="AG195" s="1">
        <v>38594</v>
      </c>
      <c r="AH195">
        <v>0</v>
      </c>
      <c r="AI195" t="s">
        <v>40</v>
      </c>
      <c r="AJ195" t="s">
        <v>40</v>
      </c>
      <c r="AK195" t="s">
        <v>40</v>
      </c>
      <c r="AL195" t="s">
        <v>40</v>
      </c>
      <c r="AN195" t="s">
        <v>169</v>
      </c>
      <c r="AO195">
        <v>278</v>
      </c>
    </row>
    <row r="196" spans="1:45" x14ac:dyDescent="0.3">
      <c r="A196">
        <v>5471178</v>
      </c>
      <c r="B196" t="s">
        <v>153</v>
      </c>
      <c r="C196" t="str">
        <f>_xlfn.XLOOKUP(B196,Match!$A$2:$A$111,Match!$B$2:$B$111)</f>
        <v>Walton, FL</v>
      </c>
      <c r="D196" t="str">
        <f>_xlfn.XLOOKUP(C196,Validation!$B$2:$B$68,Validation!$A$2:$A$68)</f>
        <v>12131</v>
      </c>
      <c r="E196" t="s">
        <v>40</v>
      </c>
      <c r="F196" s="1">
        <v>38592</v>
      </c>
      <c r="G196">
        <v>1800</v>
      </c>
      <c r="H196" t="s">
        <v>41</v>
      </c>
      <c r="I196" t="s">
        <v>40</v>
      </c>
      <c r="J196" t="s">
        <v>40</v>
      </c>
      <c r="K196">
        <v>0</v>
      </c>
      <c r="L196">
        <v>0</v>
      </c>
      <c r="M196">
        <v>750000</v>
      </c>
      <c r="N196">
        <v>0</v>
      </c>
      <c r="O196" t="s">
        <v>42</v>
      </c>
      <c r="P196" t="s">
        <v>43</v>
      </c>
      <c r="Q196" t="s">
        <v>40</v>
      </c>
      <c r="R196">
        <v>1198354</v>
      </c>
      <c r="S196" t="s">
        <v>44</v>
      </c>
      <c r="T196">
        <v>8</v>
      </c>
      <c r="U196" t="s">
        <v>106</v>
      </c>
      <c r="V196">
        <v>0</v>
      </c>
      <c r="W196">
        <v>0</v>
      </c>
      <c r="X196" t="s">
        <v>67</v>
      </c>
      <c r="Y196" t="s">
        <v>40</v>
      </c>
      <c r="Z196" t="s">
        <v>40</v>
      </c>
      <c r="AA196" t="s">
        <v>40</v>
      </c>
      <c r="AB196" t="s">
        <v>40</v>
      </c>
      <c r="AC196" t="s">
        <v>40</v>
      </c>
      <c r="AD196" t="s">
        <v>40</v>
      </c>
      <c r="AE196" t="s">
        <v>40</v>
      </c>
      <c r="AF196" t="s">
        <v>40</v>
      </c>
      <c r="AG196" s="1">
        <v>38594</v>
      </c>
      <c r="AH196">
        <v>0</v>
      </c>
      <c r="AI196" t="s">
        <v>40</v>
      </c>
      <c r="AJ196" t="s">
        <v>40</v>
      </c>
      <c r="AK196" t="s">
        <v>40</v>
      </c>
      <c r="AL196" t="s">
        <v>40</v>
      </c>
      <c r="AN196" t="s">
        <v>169</v>
      </c>
      <c r="AO196">
        <v>279</v>
      </c>
    </row>
    <row r="197" spans="1:45" x14ac:dyDescent="0.3">
      <c r="A197">
        <v>5475231</v>
      </c>
      <c r="B197" t="s">
        <v>84</v>
      </c>
      <c r="C197" t="str">
        <f>_xlfn.XLOOKUP(B197,Match!$A$2:$A$111,Match!$B$2:$B$111)</f>
        <v>Monroe, FL</v>
      </c>
      <c r="D197" t="str">
        <f>_xlfn.XLOOKUP(C197,Validation!$B$2:$B$68,Validation!$A$2:$A$68)</f>
        <v>12087</v>
      </c>
      <c r="E197" t="s">
        <v>40</v>
      </c>
      <c r="F197" s="1">
        <v>38615</v>
      </c>
      <c r="G197">
        <v>900</v>
      </c>
      <c r="H197" t="s">
        <v>41</v>
      </c>
      <c r="I197" t="s">
        <v>40</v>
      </c>
      <c r="J197" t="s">
        <v>40</v>
      </c>
      <c r="K197">
        <v>0</v>
      </c>
      <c r="L197">
        <v>0</v>
      </c>
      <c r="M197">
        <v>0</v>
      </c>
      <c r="N197">
        <v>0</v>
      </c>
      <c r="O197" t="s">
        <v>42</v>
      </c>
      <c r="P197" t="s">
        <v>43</v>
      </c>
      <c r="Q197" t="s">
        <v>40</v>
      </c>
      <c r="R197">
        <v>1199324</v>
      </c>
      <c r="S197" t="s">
        <v>44</v>
      </c>
      <c r="T197">
        <v>78</v>
      </c>
      <c r="U197" t="s">
        <v>85</v>
      </c>
      <c r="V197">
        <v>0</v>
      </c>
      <c r="W197">
        <v>0</v>
      </c>
      <c r="X197" t="s">
        <v>86</v>
      </c>
      <c r="Y197" t="s">
        <v>40</v>
      </c>
      <c r="Z197" t="s">
        <v>40</v>
      </c>
      <c r="AA197" t="s">
        <v>40</v>
      </c>
      <c r="AB197" t="s">
        <v>40</v>
      </c>
      <c r="AC197" t="s">
        <v>40</v>
      </c>
      <c r="AD197" t="s">
        <v>40</v>
      </c>
      <c r="AE197" t="s">
        <v>40</v>
      </c>
      <c r="AF197" t="s">
        <v>40</v>
      </c>
      <c r="AG197" s="1">
        <v>38615</v>
      </c>
      <c r="AH197">
        <v>2200</v>
      </c>
      <c r="AI197" t="s">
        <v>40</v>
      </c>
      <c r="AJ197" t="s">
        <v>40</v>
      </c>
      <c r="AK197" t="s">
        <v>40</v>
      </c>
      <c r="AL197" t="s">
        <v>40</v>
      </c>
      <c r="AM197" t="s">
        <v>170</v>
      </c>
      <c r="AO197">
        <v>280</v>
      </c>
    </row>
    <row r="198" spans="1:45" x14ac:dyDescent="0.3">
      <c r="A198">
        <v>5475232</v>
      </c>
      <c r="B198" t="s">
        <v>87</v>
      </c>
      <c r="C198" t="str">
        <f>_xlfn.XLOOKUP(B198,Match!$A$2:$A$111,Match!$B$2:$B$111)</f>
        <v>Monroe, FL</v>
      </c>
      <c r="D198" t="str">
        <f>_xlfn.XLOOKUP(C198,Validation!$B$2:$B$68,Validation!$A$2:$A$68)</f>
        <v>12087</v>
      </c>
      <c r="E198" t="s">
        <v>40</v>
      </c>
      <c r="F198" s="1">
        <v>38615</v>
      </c>
      <c r="G198">
        <v>900</v>
      </c>
      <c r="H198" t="s">
        <v>41</v>
      </c>
      <c r="I198" t="s">
        <v>40</v>
      </c>
      <c r="J198" t="s">
        <v>40</v>
      </c>
      <c r="K198">
        <v>0</v>
      </c>
      <c r="L198">
        <v>0</v>
      </c>
      <c r="M198">
        <v>0</v>
      </c>
      <c r="N198">
        <v>0</v>
      </c>
      <c r="O198" t="s">
        <v>42</v>
      </c>
      <c r="P198" t="s">
        <v>43</v>
      </c>
      <c r="Q198" t="s">
        <v>40</v>
      </c>
      <c r="R198">
        <v>1199324</v>
      </c>
      <c r="S198" t="s">
        <v>44</v>
      </c>
      <c r="T198">
        <v>77</v>
      </c>
      <c r="U198" t="s">
        <v>85</v>
      </c>
      <c r="V198">
        <v>0</v>
      </c>
      <c r="W198">
        <v>0</v>
      </c>
      <c r="X198" t="s">
        <v>86</v>
      </c>
      <c r="Y198" t="s">
        <v>40</v>
      </c>
      <c r="Z198" t="s">
        <v>40</v>
      </c>
      <c r="AA198" t="s">
        <v>40</v>
      </c>
      <c r="AB198" t="s">
        <v>40</v>
      </c>
      <c r="AC198" t="s">
        <v>40</v>
      </c>
      <c r="AD198" t="s">
        <v>40</v>
      </c>
      <c r="AE198" t="s">
        <v>40</v>
      </c>
      <c r="AF198" t="s">
        <v>40</v>
      </c>
      <c r="AG198" s="1">
        <v>38615</v>
      </c>
      <c r="AH198">
        <v>2200</v>
      </c>
      <c r="AI198" t="s">
        <v>40</v>
      </c>
      <c r="AJ198" t="s">
        <v>40</v>
      </c>
      <c r="AK198" t="s">
        <v>40</v>
      </c>
      <c r="AL198" t="s">
        <v>40</v>
      </c>
      <c r="AM198" t="s">
        <v>171</v>
      </c>
      <c r="AO198">
        <v>281</v>
      </c>
    </row>
    <row r="199" spans="1:45" x14ac:dyDescent="0.3">
      <c r="A199">
        <v>5474177</v>
      </c>
      <c r="B199" t="s">
        <v>88</v>
      </c>
      <c r="C199" t="str">
        <f>_xlfn.XLOOKUP(B199,Match!$A$2:$A$111,Match!$B$2:$B$111)</f>
        <v>Monroe, FL</v>
      </c>
      <c r="D199" t="str">
        <f>_xlfn.XLOOKUP(C199,Validation!$B$2:$B$68,Validation!$A$2:$A$68)</f>
        <v>12087</v>
      </c>
      <c r="E199" t="s">
        <v>40</v>
      </c>
      <c r="F199" s="1">
        <v>38615</v>
      </c>
      <c r="G199">
        <v>900</v>
      </c>
      <c r="H199" t="s">
        <v>41</v>
      </c>
      <c r="I199" t="s">
        <v>40</v>
      </c>
      <c r="J199" t="s">
        <v>40</v>
      </c>
      <c r="K199">
        <v>0</v>
      </c>
      <c r="L199">
        <v>0</v>
      </c>
      <c r="M199">
        <v>0</v>
      </c>
      <c r="N199">
        <v>0</v>
      </c>
      <c r="O199" t="s">
        <v>42</v>
      </c>
      <c r="P199" t="s">
        <v>43</v>
      </c>
      <c r="Q199" t="s">
        <v>40</v>
      </c>
      <c r="R199">
        <v>1199324</v>
      </c>
      <c r="S199" t="s">
        <v>44</v>
      </c>
      <c r="T199">
        <v>76</v>
      </c>
      <c r="U199" t="s">
        <v>85</v>
      </c>
      <c r="V199">
        <v>0</v>
      </c>
      <c r="W199">
        <v>0</v>
      </c>
      <c r="X199" t="s">
        <v>86</v>
      </c>
      <c r="Y199" t="s">
        <v>40</v>
      </c>
      <c r="Z199" t="s">
        <v>40</v>
      </c>
      <c r="AA199" t="s">
        <v>40</v>
      </c>
      <c r="AB199" t="s">
        <v>40</v>
      </c>
      <c r="AC199" t="s">
        <v>40</v>
      </c>
      <c r="AD199" t="s">
        <v>40</v>
      </c>
      <c r="AE199" t="s">
        <v>40</v>
      </c>
      <c r="AF199" t="s">
        <v>40</v>
      </c>
      <c r="AG199" s="1">
        <v>38615</v>
      </c>
      <c r="AH199">
        <v>2200</v>
      </c>
      <c r="AI199" t="s">
        <v>40</v>
      </c>
      <c r="AJ199" t="s">
        <v>40</v>
      </c>
      <c r="AK199" t="s">
        <v>40</v>
      </c>
      <c r="AL199" t="s">
        <v>40</v>
      </c>
      <c r="AM199" t="s">
        <v>172</v>
      </c>
      <c r="AO199">
        <v>282</v>
      </c>
    </row>
    <row r="200" spans="1:45" ht="409.6" x14ac:dyDescent="0.3">
      <c r="A200">
        <v>5482925</v>
      </c>
      <c r="B200" t="s">
        <v>88</v>
      </c>
      <c r="C200" t="str">
        <f>_xlfn.XLOOKUP(B200,Match!$A$2:$A$111,Match!$B$2:$B$111)</f>
        <v>Monroe, FL</v>
      </c>
      <c r="D200" t="str">
        <f>_xlfn.XLOOKUP(C200,Validation!$B$2:$B$68,Validation!$A$2:$A$68)</f>
        <v>12087</v>
      </c>
      <c r="E200" t="s">
        <v>40</v>
      </c>
      <c r="F200" s="1">
        <v>38648</v>
      </c>
      <c r="G200">
        <v>2000</v>
      </c>
      <c r="H200" t="s">
        <v>41</v>
      </c>
      <c r="I200" t="s">
        <v>40</v>
      </c>
      <c r="J200" t="s">
        <v>40</v>
      </c>
      <c r="K200">
        <v>0</v>
      </c>
      <c r="L200">
        <v>2</v>
      </c>
      <c r="M200">
        <v>33000000</v>
      </c>
      <c r="N200">
        <v>0</v>
      </c>
      <c r="O200" t="s">
        <v>42</v>
      </c>
      <c r="P200" t="s">
        <v>43</v>
      </c>
      <c r="Q200" t="s">
        <v>40</v>
      </c>
      <c r="R200">
        <v>1202442</v>
      </c>
      <c r="S200" t="s">
        <v>44</v>
      </c>
      <c r="T200">
        <v>76</v>
      </c>
      <c r="U200" t="s">
        <v>85</v>
      </c>
      <c r="V200">
        <v>0</v>
      </c>
      <c r="W200">
        <v>0</v>
      </c>
      <c r="X200" t="s">
        <v>86</v>
      </c>
      <c r="Y200" t="s">
        <v>40</v>
      </c>
      <c r="Z200" t="s">
        <v>40</v>
      </c>
      <c r="AA200" t="s">
        <v>40</v>
      </c>
      <c r="AB200" t="s">
        <v>40</v>
      </c>
      <c r="AC200" t="s">
        <v>40</v>
      </c>
      <c r="AD200" t="s">
        <v>40</v>
      </c>
      <c r="AE200" t="s">
        <v>40</v>
      </c>
      <c r="AF200" t="s">
        <v>40</v>
      </c>
      <c r="AG200" s="1">
        <v>38649</v>
      </c>
      <c r="AH200">
        <v>2100</v>
      </c>
      <c r="AI200" t="s">
        <v>40</v>
      </c>
      <c r="AJ200" t="s">
        <v>40</v>
      </c>
      <c r="AK200" t="s">
        <v>40</v>
      </c>
      <c r="AL200" t="s">
        <v>40</v>
      </c>
      <c r="AM200" s="2" t="s">
        <v>173</v>
      </c>
      <c r="AO200">
        <v>283</v>
      </c>
    </row>
    <row r="201" spans="1:45" ht="409.6" x14ac:dyDescent="0.3">
      <c r="A201">
        <v>5482821</v>
      </c>
      <c r="B201" t="s">
        <v>84</v>
      </c>
      <c r="C201" t="str">
        <f>_xlfn.XLOOKUP(B201,Match!$A$2:$A$111,Match!$B$2:$B$111)</f>
        <v>Monroe, FL</v>
      </c>
      <c r="D201" t="str">
        <f>_xlfn.XLOOKUP(C201,Validation!$B$2:$B$68,Validation!$A$2:$A$68)</f>
        <v>12087</v>
      </c>
      <c r="E201" t="s">
        <v>40</v>
      </c>
      <c r="F201" s="1">
        <v>38648</v>
      </c>
      <c r="G201">
        <v>2000</v>
      </c>
      <c r="H201" t="s">
        <v>41</v>
      </c>
      <c r="I201" t="s">
        <v>40</v>
      </c>
      <c r="J201" t="s">
        <v>40</v>
      </c>
      <c r="K201">
        <v>0</v>
      </c>
      <c r="L201">
        <v>2</v>
      </c>
      <c r="M201">
        <v>33000000</v>
      </c>
      <c r="N201">
        <v>0</v>
      </c>
      <c r="O201" t="s">
        <v>42</v>
      </c>
      <c r="P201" t="s">
        <v>43</v>
      </c>
      <c r="Q201" t="s">
        <v>40</v>
      </c>
      <c r="R201">
        <v>1202442</v>
      </c>
      <c r="S201" t="s">
        <v>44</v>
      </c>
      <c r="T201">
        <v>78</v>
      </c>
      <c r="U201" t="s">
        <v>85</v>
      </c>
      <c r="V201">
        <v>0</v>
      </c>
      <c r="W201">
        <v>0</v>
      </c>
      <c r="X201" t="s">
        <v>86</v>
      </c>
      <c r="Y201" t="s">
        <v>40</v>
      </c>
      <c r="Z201" t="s">
        <v>40</v>
      </c>
      <c r="AA201" t="s">
        <v>40</v>
      </c>
      <c r="AB201" t="s">
        <v>40</v>
      </c>
      <c r="AC201" t="s">
        <v>40</v>
      </c>
      <c r="AD201" t="s">
        <v>40</v>
      </c>
      <c r="AE201" t="s">
        <v>40</v>
      </c>
      <c r="AF201" t="s">
        <v>40</v>
      </c>
      <c r="AG201" s="1">
        <v>38649</v>
      </c>
      <c r="AH201">
        <v>2100</v>
      </c>
      <c r="AI201" t="s">
        <v>40</v>
      </c>
      <c r="AJ201" t="s">
        <v>40</v>
      </c>
      <c r="AK201" t="s">
        <v>40</v>
      </c>
      <c r="AL201" t="s">
        <v>40</v>
      </c>
      <c r="AM201" s="2" t="s">
        <v>174</v>
      </c>
      <c r="AO201">
        <v>284</v>
      </c>
    </row>
    <row r="202" spans="1:45" ht="409.6" x14ac:dyDescent="0.3">
      <c r="A202">
        <v>5482822</v>
      </c>
      <c r="B202" t="s">
        <v>87</v>
      </c>
      <c r="C202" t="str">
        <f>_xlfn.XLOOKUP(B202,Match!$A$2:$A$111,Match!$B$2:$B$111)</f>
        <v>Monroe, FL</v>
      </c>
      <c r="D202" t="str">
        <f>_xlfn.XLOOKUP(C202,Validation!$B$2:$B$68,Validation!$A$2:$A$68)</f>
        <v>12087</v>
      </c>
      <c r="E202" t="s">
        <v>40</v>
      </c>
      <c r="F202" s="1">
        <v>38648</v>
      </c>
      <c r="G202">
        <v>2000</v>
      </c>
      <c r="H202" t="s">
        <v>41</v>
      </c>
      <c r="I202" t="s">
        <v>40</v>
      </c>
      <c r="J202" t="s">
        <v>40</v>
      </c>
      <c r="K202">
        <v>0</v>
      </c>
      <c r="L202">
        <v>2</v>
      </c>
      <c r="M202">
        <v>33000000</v>
      </c>
      <c r="N202">
        <v>0</v>
      </c>
      <c r="O202" t="s">
        <v>42</v>
      </c>
      <c r="P202" t="s">
        <v>43</v>
      </c>
      <c r="Q202" t="s">
        <v>40</v>
      </c>
      <c r="R202">
        <v>1202442</v>
      </c>
      <c r="S202" t="s">
        <v>44</v>
      </c>
      <c r="T202">
        <v>77</v>
      </c>
      <c r="U202" t="s">
        <v>85</v>
      </c>
      <c r="V202">
        <v>0</v>
      </c>
      <c r="W202">
        <v>0</v>
      </c>
      <c r="X202" t="s">
        <v>86</v>
      </c>
      <c r="Y202" t="s">
        <v>40</v>
      </c>
      <c r="Z202" t="s">
        <v>40</v>
      </c>
      <c r="AA202" t="s">
        <v>40</v>
      </c>
      <c r="AB202" t="s">
        <v>40</v>
      </c>
      <c r="AC202" t="s">
        <v>40</v>
      </c>
      <c r="AD202" t="s">
        <v>40</v>
      </c>
      <c r="AE202" t="s">
        <v>40</v>
      </c>
      <c r="AF202" t="s">
        <v>40</v>
      </c>
      <c r="AG202" s="1">
        <v>38649</v>
      </c>
      <c r="AH202">
        <v>2100</v>
      </c>
      <c r="AI202" t="s">
        <v>40</v>
      </c>
      <c r="AJ202" t="s">
        <v>40</v>
      </c>
      <c r="AK202" t="s">
        <v>40</v>
      </c>
      <c r="AL202" t="s">
        <v>40</v>
      </c>
      <c r="AM202" s="2" t="s">
        <v>175</v>
      </c>
      <c r="AO202">
        <v>285</v>
      </c>
    </row>
    <row r="203" spans="1:45" ht="409.6" x14ac:dyDescent="0.3">
      <c r="A203">
        <v>5477626</v>
      </c>
      <c r="B203" t="s">
        <v>121</v>
      </c>
      <c r="C203" t="str">
        <f>_xlfn.XLOOKUP(B203,Match!$A$2:$A$111,Match!$B$2:$B$111)</f>
        <v>Collier, FL</v>
      </c>
      <c r="D203" t="str">
        <f>_xlfn.XLOOKUP(C203,Validation!$B$2:$B$68,Validation!$A$2:$A$68)</f>
        <v>12021</v>
      </c>
      <c r="E203" t="s">
        <v>40</v>
      </c>
      <c r="F203" s="1">
        <v>38649</v>
      </c>
      <c r="G203">
        <v>400</v>
      </c>
      <c r="H203" t="s">
        <v>41</v>
      </c>
      <c r="I203" t="s">
        <v>40</v>
      </c>
      <c r="J203" t="s">
        <v>40</v>
      </c>
      <c r="K203">
        <v>1</v>
      </c>
      <c r="L203">
        <v>0</v>
      </c>
      <c r="M203">
        <v>0</v>
      </c>
      <c r="N203">
        <v>0</v>
      </c>
      <c r="O203" t="s">
        <v>42</v>
      </c>
      <c r="P203" t="s">
        <v>43</v>
      </c>
      <c r="Q203" t="s">
        <v>40</v>
      </c>
      <c r="R203">
        <v>1199954</v>
      </c>
      <c r="S203" t="s">
        <v>44</v>
      </c>
      <c r="T203">
        <v>69</v>
      </c>
      <c r="U203" t="s">
        <v>45</v>
      </c>
      <c r="V203">
        <v>0</v>
      </c>
      <c r="W203">
        <v>0</v>
      </c>
      <c r="X203" t="s">
        <v>95</v>
      </c>
      <c r="Y203" t="s">
        <v>96</v>
      </c>
      <c r="Z203" t="s">
        <v>97</v>
      </c>
      <c r="AA203" t="s">
        <v>98</v>
      </c>
      <c r="AB203" t="s">
        <v>40</v>
      </c>
      <c r="AC203" t="s">
        <v>40</v>
      </c>
      <c r="AD203" t="s">
        <v>40</v>
      </c>
      <c r="AE203" t="s">
        <v>40</v>
      </c>
      <c r="AF203" t="s">
        <v>40</v>
      </c>
      <c r="AG203" t="s">
        <v>40</v>
      </c>
      <c r="AH203" t="s">
        <v>40</v>
      </c>
      <c r="AI203" t="s">
        <v>40</v>
      </c>
      <c r="AJ203" s="1">
        <v>38649</v>
      </c>
      <c r="AK203">
        <v>900</v>
      </c>
      <c r="AL203" t="s">
        <v>40</v>
      </c>
      <c r="AM203" t="s">
        <v>40</v>
      </c>
      <c r="AN203" t="s">
        <v>40</v>
      </c>
      <c r="AO203" t="s">
        <v>40</v>
      </c>
      <c r="AQ203" s="2" t="s">
        <v>176</v>
      </c>
      <c r="AR203" t="s">
        <v>177</v>
      </c>
      <c r="AS203">
        <v>286</v>
      </c>
    </row>
    <row r="204" spans="1:45" ht="409.6" x14ac:dyDescent="0.3">
      <c r="A204">
        <v>5477058</v>
      </c>
      <c r="B204" t="s">
        <v>57</v>
      </c>
      <c r="C204" t="str">
        <f>_xlfn.XLOOKUP(B204,Match!$A$2:$A$111,Match!$B$2:$B$111)</f>
        <v>Lee, FL</v>
      </c>
      <c r="D204" t="str">
        <f>_xlfn.XLOOKUP(C204,Validation!$B$2:$B$68,Validation!$A$2:$A$68)</f>
        <v>12071</v>
      </c>
      <c r="E204" t="s">
        <v>40</v>
      </c>
      <c r="F204" s="1">
        <v>38649</v>
      </c>
      <c r="G204">
        <v>500</v>
      </c>
      <c r="H204" t="s">
        <v>41</v>
      </c>
      <c r="I204" t="s">
        <v>40</v>
      </c>
      <c r="J204" t="s">
        <v>40</v>
      </c>
      <c r="K204">
        <v>0</v>
      </c>
      <c r="L204">
        <v>0</v>
      </c>
      <c r="M204">
        <v>101000000</v>
      </c>
      <c r="N204">
        <v>0</v>
      </c>
      <c r="O204" t="s">
        <v>42</v>
      </c>
      <c r="P204" t="s">
        <v>43</v>
      </c>
      <c r="Q204" t="s">
        <v>40</v>
      </c>
      <c r="R204">
        <v>1200006</v>
      </c>
      <c r="S204" t="s">
        <v>44</v>
      </c>
      <c r="T204">
        <v>65</v>
      </c>
      <c r="U204" t="s">
        <v>54</v>
      </c>
      <c r="V204">
        <v>0</v>
      </c>
      <c r="W204">
        <v>0</v>
      </c>
      <c r="X204" t="s">
        <v>67</v>
      </c>
      <c r="Y204" t="s">
        <v>40</v>
      </c>
      <c r="Z204" t="s">
        <v>40</v>
      </c>
      <c r="AA204" t="s">
        <v>40</v>
      </c>
      <c r="AB204" t="s">
        <v>40</v>
      </c>
      <c r="AC204" t="s">
        <v>40</v>
      </c>
      <c r="AD204" t="s">
        <v>40</v>
      </c>
      <c r="AE204" t="s">
        <v>40</v>
      </c>
      <c r="AF204" t="s">
        <v>40</v>
      </c>
      <c r="AG204" s="1">
        <v>38649</v>
      </c>
      <c r="AH204">
        <v>1100</v>
      </c>
      <c r="AI204" t="s">
        <v>40</v>
      </c>
      <c r="AJ204" t="s">
        <v>40</v>
      </c>
      <c r="AK204" t="s">
        <v>40</v>
      </c>
      <c r="AL204" t="s">
        <v>40</v>
      </c>
      <c r="AN204" s="2" t="s">
        <v>178</v>
      </c>
      <c r="AO204">
        <v>287</v>
      </c>
    </row>
    <row r="205" spans="1:45" ht="409.6" x14ac:dyDescent="0.3">
      <c r="A205">
        <v>5477627</v>
      </c>
      <c r="B205" t="s">
        <v>48</v>
      </c>
      <c r="C205" t="str">
        <f>_xlfn.XLOOKUP(B205,Match!$A$2:$A$111,Match!$B$2:$B$111)</f>
        <v>Miami-Dade, FL</v>
      </c>
      <c r="D205" t="str">
        <f>_xlfn.XLOOKUP(C205,Validation!$B$2:$B$68,Validation!$A$2:$A$68)</f>
        <v>12086</v>
      </c>
      <c r="E205" t="s">
        <v>40</v>
      </c>
      <c r="F205" s="1">
        <v>38649</v>
      </c>
      <c r="G205">
        <v>530</v>
      </c>
      <c r="H205" t="s">
        <v>41</v>
      </c>
      <c r="I205" t="s">
        <v>40</v>
      </c>
      <c r="J205" t="s">
        <v>40</v>
      </c>
      <c r="K205">
        <v>2</v>
      </c>
      <c r="L205">
        <v>0</v>
      </c>
      <c r="M205">
        <v>0</v>
      </c>
      <c r="N205">
        <v>0</v>
      </c>
      <c r="O205" t="s">
        <v>42</v>
      </c>
      <c r="P205" t="s">
        <v>43</v>
      </c>
      <c r="Q205" t="s">
        <v>40</v>
      </c>
      <c r="R205">
        <v>1199954</v>
      </c>
      <c r="S205" t="s">
        <v>44</v>
      </c>
      <c r="T205">
        <v>74</v>
      </c>
      <c r="U205" t="s">
        <v>45</v>
      </c>
      <c r="V205">
        <v>0</v>
      </c>
      <c r="W205">
        <v>0</v>
      </c>
      <c r="X205" t="s">
        <v>95</v>
      </c>
      <c r="Y205" t="s">
        <v>96</v>
      </c>
      <c r="Z205" t="s">
        <v>97</v>
      </c>
      <c r="AA205" t="s">
        <v>98</v>
      </c>
      <c r="AB205" t="s">
        <v>40</v>
      </c>
      <c r="AC205" t="s">
        <v>40</v>
      </c>
      <c r="AD205" t="s">
        <v>40</v>
      </c>
      <c r="AE205" t="s">
        <v>40</v>
      </c>
      <c r="AF205" t="s">
        <v>40</v>
      </c>
      <c r="AG205" t="s">
        <v>40</v>
      </c>
      <c r="AH205" t="s">
        <v>40</v>
      </c>
      <c r="AI205" t="s">
        <v>40</v>
      </c>
      <c r="AJ205" s="1">
        <v>38649</v>
      </c>
      <c r="AK205">
        <v>1000</v>
      </c>
      <c r="AL205" t="s">
        <v>40</v>
      </c>
      <c r="AM205" t="s">
        <v>40</v>
      </c>
      <c r="AN205" t="s">
        <v>40</v>
      </c>
      <c r="AO205" t="s">
        <v>40</v>
      </c>
      <c r="AQ205" s="2" t="s">
        <v>176</v>
      </c>
      <c r="AR205" t="s">
        <v>177</v>
      </c>
      <c r="AS205">
        <v>288</v>
      </c>
    </row>
    <row r="206" spans="1:45" ht="409.6" x14ac:dyDescent="0.3">
      <c r="A206">
        <v>5477625</v>
      </c>
      <c r="B206" t="s">
        <v>52</v>
      </c>
      <c r="C206" t="str">
        <f>_xlfn.XLOOKUP(B206,Match!$A$2:$A$111,Match!$B$2:$B$111)</f>
        <v>Broward, FL</v>
      </c>
      <c r="D206" t="str">
        <f>_xlfn.XLOOKUP(C206,Validation!$B$2:$B$68,Validation!$A$2:$A$68)</f>
        <v>12011</v>
      </c>
      <c r="E206" t="s">
        <v>40</v>
      </c>
      <c r="F206" s="1">
        <v>38649</v>
      </c>
      <c r="G206">
        <v>600</v>
      </c>
      <c r="H206" t="s">
        <v>41</v>
      </c>
      <c r="I206" t="s">
        <v>40</v>
      </c>
      <c r="J206" t="s">
        <v>40</v>
      </c>
      <c r="K206">
        <v>1</v>
      </c>
      <c r="L206">
        <v>0</v>
      </c>
      <c r="M206">
        <v>0</v>
      </c>
      <c r="N206">
        <v>0</v>
      </c>
      <c r="O206" t="s">
        <v>42</v>
      </c>
      <c r="P206" t="s">
        <v>43</v>
      </c>
      <c r="Q206" t="s">
        <v>40</v>
      </c>
      <c r="R206">
        <v>1199954</v>
      </c>
      <c r="S206" t="s">
        <v>44</v>
      </c>
      <c r="T206">
        <v>72</v>
      </c>
      <c r="U206" t="s">
        <v>45</v>
      </c>
      <c r="V206">
        <v>0</v>
      </c>
      <c r="W206">
        <v>0</v>
      </c>
      <c r="X206" t="s">
        <v>95</v>
      </c>
      <c r="Y206" t="s">
        <v>96</v>
      </c>
      <c r="Z206" t="s">
        <v>97</v>
      </c>
      <c r="AA206" t="s">
        <v>98</v>
      </c>
      <c r="AB206" t="s">
        <v>40</v>
      </c>
      <c r="AC206" t="s">
        <v>40</v>
      </c>
      <c r="AD206" t="s">
        <v>40</v>
      </c>
      <c r="AE206" t="s">
        <v>40</v>
      </c>
      <c r="AF206" t="s">
        <v>40</v>
      </c>
      <c r="AG206" t="s">
        <v>40</v>
      </c>
      <c r="AH206" t="s">
        <v>40</v>
      </c>
      <c r="AI206" t="s">
        <v>40</v>
      </c>
      <c r="AJ206" s="1">
        <v>38649</v>
      </c>
      <c r="AK206">
        <v>1100</v>
      </c>
      <c r="AL206" t="s">
        <v>40</v>
      </c>
      <c r="AM206" t="s">
        <v>40</v>
      </c>
      <c r="AN206" t="s">
        <v>40</v>
      </c>
      <c r="AO206" t="s">
        <v>40</v>
      </c>
      <c r="AQ206" s="2" t="s">
        <v>176</v>
      </c>
      <c r="AR206" t="s">
        <v>177</v>
      </c>
      <c r="AS206">
        <v>289</v>
      </c>
    </row>
    <row r="207" spans="1:45" ht="409.6" x14ac:dyDescent="0.3">
      <c r="A207">
        <v>5477628</v>
      </c>
      <c r="B207" t="s">
        <v>39</v>
      </c>
      <c r="C207" t="str">
        <f>_xlfn.XLOOKUP(B207,Match!$A$2:$A$111,Match!$B$2:$B$111)</f>
        <v>Palm Beach, FL</v>
      </c>
      <c r="D207" t="str">
        <f>_xlfn.XLOOKUP(C207,Validation!$B$2:$B$68,Validation!$A$2:$A$68)</f>
        <v>12099</v>
      </c>
      <c r="E207" t="s">
        <v>40</v>
      </c>
      <c r="F207" s="1">
        <v>38649</v>
      </c>
      <c r="G207">
        <v>700</v>
      </c>
      <c r="H207" t="s">
        <v>41</v>
      </c>
      <c r="I207" t="s">
        <v>40</v>
      </c>
      <c r="J207" t="s">
        <v>40</v>
      </c>
      <c r="K207">
        <v>1</v>
      </c>
      <c r="L207">
        <v>0</v>
      </c>
      <c r="M207">
        <v>10000000000</v>
      </c>
      <c r="N207">
        <v>0</v>
      </c>
      <c r="O207" t="s">
        <v>42</v>
      </c>
      <c r="P207" t="s">
        <v>43</v>
      </c>
      <c r="Q207" t="s">
        <v>40</v>
      </c>
      <c r="R207">
        <v>1199954</v>
      </c>
      <c r="S207" t="s">
        <v>44</v>
      </c>
      <c r="T207">
        <v>68</v>
      </c>
      <c r="U207" t="s">
        <v>45</v>
      </c>
      <c r="V207">
        <v>0</v>
      </c>
      <c r="W207">
        <v>0</v>
      </c>
      <c r="X207" t="s">
        <v>95</v>
      </c>
      <c r="Y207" t="s">
        <v>96</v>
      </c>
      <c r="Z207" t="s">
        <v>97</v>
      </c>
      <c r="AA207" t="s">
        <v>98</v>
      </c>
      <c r="AB207" t="s">
        <v>40</v>
      </c>
      <c r="AC207" t="s">
        <v>40</v>
      </c>
      <c r="AD207" t="s">
        <v>40</v>
      </c>
      <c r="AE207" t="s">
        <v>40</v>
      </c>
      <c r="AF207" t="s">
        <v>40</v>
      </c>
      <c r="AG207" t="s">
        <v>40</v>
      </c>
      <c r="AH207" t="s">
        <v>40</v>
      </c>
      <c r="AI207" t="s">
        <v>40</v>
      </c>
      <c r="AJ207" s="1">
        <v>38649</v>
      </c>
      <c r="AK207">
        <v>1200</v>
      </c>
      <c r="AL207" t="s">
        <v>40</v>
      </c>
      <c r="AM207" t="s">
        <v>40</v>
      </c>
      <c r="AN207" t="s">
        <v>40</v>
      </c>
      <c r="AO207" t="s">
        <v>40</v>
      </c>
      <c r="AQ207" s="2" t="s">
        <v>176</v>
      </c>
      <c r="AR207" t="s">
        <v>177</v>
      </c>
      <c r="AS207">
        <v>290</v>
      </c>
    </row>
    <row r="208" spans="1:45" x14ac:dyDescent="0.3">
      <c r="A208">
        <v>655883</v>
      </c>
      <c r="B208" t="s">
        <v>179</v>
      </c>
      <c r="C208" t="str">
        <f>_xlfn.XLOOKUP(B208,Match!$A$2:$A$111,Match!$B$2:$B$111)</f>
        <v>Franklin, FL</v>
      </c>
      <c r="D208" t="str">
        <f>_xlfn.XLOOKUP(C208,Validation!$B$2:$B$68,Validation!$A$2:$A$68)</f>
        <v>12037</v>
      </c>
      <c r="E208" t="s">
        <v>40</v>
      </c>
      <c r="F208" s="1">
        <v>42614</v>
      </c>
      <c r="G208">
        <v>1900</v>
      </c>
      <c r="H208" t="s">
        <v>41</v>
      </c>
      <c r="I208" t="s">
        <v>40</v>
      </c>
      <c r="J208" t="s">
        <v>40</v>
      </c>
      <c r="K208">
        <v>0</v>
      </c>
      <c r="L208">
        <v>0</v>
      </c>
      <c r="M208">
        <v>704000</v>
      </c>
      <c r="N208">
        <v>0</v>
      </c>
      <c r="O208" t="s">
        <v>42</v>
      </c>
      <c r="P208" t="s">
        <v>180</v>
      </c>
      <c r="Q208" t="s">
        <v>40</v>
      </c>
      <c r="R208">
        <v>108553</v>
      </c>
      <c r="S208" t="s">
        <v>44</v>
      </c>
      <c r="T208">
        <v>115</v>
      </c>
      <c r="U208" t="s">
        <v>106</v>
      </c>
      <c r="V208">
        <v>0</v>
      </c>
      <c r="W208">
        <v>0</v>
      </c>
      <c r="X208" t="s">
        <v>181</v>
      </c>
      <c r="Y208" t="s">
        <v>40</v>
      </c>
      <c r="Z208" t="s">
        <v>40</v>
      </c>
      <c r="AA208" t="s">
        <v>40</v>
      </c>
      <c r="AB208" t="s">
        <v>40</v>
      </c>
      <c r="AC208" t="s">
        <v>40</v>
      </c>
      <c r="AD208" t="s">
        <v>40</v>
      </c>
      <c r="AE208" t="s">
        <v>40</v>
      </c>
      <c r="AF208" t="s">
        <v>40</v>
      </c>
      <c r="AG208" s="1">
        <v>42615</v>
      </c>
      <c r="AH208">
        <v>700</v>
      </c>
      <c r="AI208" t="s">
        <v>40</v>
      </c>
      <c r="AJ208" t="s">
        <v>40</v>
      </c>
      <c r="AK208" t="s">
        <v>40</v>
      </c>
      <c r="AL208" t="s">
        <v>40</v>
      </c>
      <c r="AN208" t="s">
        <v>182</v>
      </c>
      <c r="AO208">
        <v>291</v>
      </c>
    </row>
    <row r="209" spans="1:41" x14ac:dyDescent="0.3">
      <c r="A209">
        <v>655884</v>
      </c>
      <c r="B209" t="s">
        <v>183</v>
      </c>
      <c r="C209" t="str">
        <f>_xlfn.XLOOKUP(B209,Match!$A$2:$A$111,Match!$B$2:$B$111)</f>
        <v>Franklin, FL</v>
      </c>
      <c r="D209" t="str">
        <f>_xlfn.XLOOKUP(C209,Validation!$B$2:$B$68,Validation!$A$2:$A$68)</f>
        <v>12037</v>
      </c>
      <c r="E209" t="s">
        <v>40</v>
      </c>
      <c r="F209" s="1">
        <v>42614</v>
      </c>
      <c r="G209">
        <v>1900</v>
      </c>
      <c r="H209" t="s">
        <v>41</v>
      </c>
      <c r="I209" t="s">
        <v>40</v>
      </c>
      <c r="J209" t="s">
        <v>40</v>
      </c>
      <c r="K209">
        <v>0</v>
      </c>
      <c r="L209">
        <v>0</v>
      </c>
      <c r="M209">
        <v>0</v>
      </c>
      <c r="N209">
        <v>0</v>
      </c>
      <c r="O209" t="s">
        <v>42</v>
      </c>
      <c r="P209" t="s">
        <v>180</v>
      </c>
      <c r="Q209" t="s">
        <v>40</v>
      </c>
      <c r="R209">
        <v>108553</v>
      </c>
      <c r="S209" t="s">
        <v>44</v>
      </c>
      <c r="T209">
        <v>15</v>
      </c>
      <c r="U209" t="s">
        <v>106</v>
      </c>
      <c r="V209">
        <v>0</v>
      </c>
      <c r="W209">
        <v>0</v>
      </c>
      <c r="X209" t="s">
        <v>181</v>
      </c>
      <c r="Y209" t="s">
        <v>40</v>
      </c>
      <c r="Z209" t="s">
        <v>40</v>
      </c>
      <c r="AA209" t="s">
        <v>40</v>
      </c>
      <c r="AB209" t="s">
        <v>40</v>
      </c>
      <c r="AC209" t="s">
        <v>40</v>
      </c>
      <c r="AD209" t="s">
        <v>40</v>
      </c>
      <c r="AE209" t="s">
        <v>40</v>
      </c>
      <c r="AF209" t="s">
        <v>40</v>
      </c>
      <c r="AG209" s="1">
        <v>42615</v>
      </c>
      <c r="AH209">
        <v>700</v>
      </c>
      <c r="AI209" t="s">
        <v>40</v>
      </c>
      <c r="AJ209" t="s">
        <v>40</v>
      </c>
      <c r="AK209" t="s">
        <v>40</v>
      </c>
      <c r="AL209" t="s">
        <v>40</v>
      </c>
      <c r="AN209" t="s">
        <v>182</v>
      </c>
      <c r="AO209">
        <v>292</v>
      </c>
    </row>
    <row r="210" spans="1:41" x14ac:dyDescent="0.3">
      <c r="A210">
        <v>655885</v>
      </c>
      <c r="B210" t="s">
        <v>184</v>
      </c>
      <c r="C210" t="str">
        <f>_xlfn.XLOOKUP(B210,Match!$A$2:$A$111,Match!$B$2:$B$111)</f>
        <v>Wakulla, FL</v>
      </c>
      <c r="D210" t="str">
        <f>_xlfn.XLOOKUP(C210,Validation!$B$2:$B$68,Validation!$A$2:$A$68)</f>
        <v>12129</v>
      </c>
      <c r="E210" t="s">
        <v>40</v>
      </c>
      <c r="F210" s="1">
        <v>42614</v>
      </c>
      <c r="G210">
        <v>1900</v>
      </c>
      <c r="H210" t="s">
        <v>41</v>
      </c>
      <c r="I210" t="s">
        <v>40</v>
      </c>
      <c r="J210" t="s">
        <v>40</v>
      </c>
      <c r="K210">
        <v>0</v>
      </c>
      <c r="L210">
        <v>0</v>
      </c>
      <c r="M210">
        <v>600000</v>
      </c>
      <c r="N210">
        <v>0</v>
      </c>
      <c r="O210" t="s">
        <v>42</v>
      </c>
      <c r="P210" t="s">
        <v>180</v>
      </c>
      <c r="Q210" t="s">
        <v>40</v>
      </c>
      <c r="R210">
        <v>108553</v>
      </c>
      <c r="S210" t="s">
        <v>44</v>
      </c>
      <c r="T210">
        <v>127</v>
      </c>
      <c r="U210" t="s">
        <v>106</v>
      </c>
      <c r="V210">
        <v>0</v>
      </c>
      <c r="W210">
        <v>0</v>
      </c>
      <c r="X210" t="s">
        <v>181</v>
      </c>
      <c r="Y210" t="s">
        <v>40</v>
      </c>
      <c r="Z210" t="s">
        <v>40</v>
      </c>
      <c r="AA210" t="s">
        <v>40</v>
      </c>
      <c r="AB210" t="s">
        <v>40</v>
      </c>
      <c r="AC210" t="s">
        <v>40</v>
      </c>
      <c r="AD210" t="s">
        <v>40</v>
      </c>
      <c r="AE210" t="s">
        <v>40</v>
      </c>
      <c r="AF210" t="s">
        <v>40</v>
      </c>
      <c r="AG210" s="1">
        <v>42615</v>
      </c>
      <c r="AH210">
        <v>700</v>
      </c>
      <c r="AI210" t="s">
        <v>40</v>
      </c>
      <c r="AJ210" t="s">
        <v>40</v>
      </c>
      <c r="AK210" t="s">
        <v>40</v>
      </c>
      <c r="AL210" t="s">
        <v>40</v>
      </c>
      <c r="AN210" t="s">
        <v>182</v>
      </c>
      <c r="AO210">
        <v>293</v>
      </c>
    </row>
    <row r="211" spans="1:41" x14ac:dyDescent="0.3">
      <c r="A211">
        <v>655886</v>
      </c>
      <c r="B211" t="s">
        <v>185</v>
      </c>
      <c r="C211" t="str">
        <f>_xlfn.XLOOKUP(B211,Match!$A$2:$A$111,Match!$B$2:$B$111)</f>
        <v>Wakulla, FL</v>
      </c>
      <c r="D211" t="str">
        <f>_xlfn.XLOOKUP(C211,Validation!$B$2:$B$68,Validation!$A$2:$A$68)</f>
        <v>12129</v>
      </c>
      <c r="E211" t="s">
        <v>40</v>
      </c>
      <c r="F211" s="1">
        <v>42614</v>
      </c>
      <c r="G211">
        <v>1900</v>
      </c>
      <c r="H211" t="s">
        <v>41</v>
      </c>
      <c r="I211" t="s">
        <v>40</v>
      </c>
      <c r="J211" t="s">
        <v>40</v>
      </c>
      <c r="K211">
        <v>0</v>
      </c>
      <c r="L211">
        <v>0</v>
      </c>
      <c r="M211">
        <v>600000</v>
      </c>
      <c r="N211">
        <v>0</v>
      </c>
      <c r="O211" t="s">
        <v>42</v>
      </c>
      <c r="P211" t="s">
        <v>180</v>
      </c>
      <c r="Q211" t="s">
        <v>40</v>
      </c>
      <c r="R211">
        <v>108553</v>
      </c>
      <c r="S211" t="s">
        <v>44</v>
      </c>
      <c r="T211">
        <v>27</v>
      </c>
      <c r="U211" t="s">
        <v>106</v>
      </c>
      <c r="V211">
        <v>0</v>
      </c>
      <c r="W211">
        <v>0</v>
      </c>
      <c r="X211" t="s">
        <v>181</v>
      </c>
      <c r="Y211" t="s">
        <v>40</v>
      </c>
      <c r="Z211" t="s">
        <v>40</v>
      </c>
      <c r="AA211" t="s">
        <v>40</v>
      </c>
      <c r="AB211" t="s">
        <v>40</v>
      </c>
      <c r="AC211" t="s">
        <v>40</v>
      </c>
      <c r="AD211" t="s">
        <v>40</v>
      </c>
      <c r="AE211" t="s">
        <v>40</v>
      </c>
      <c r="AF211" t="s">
        <v>40</v>
      </c>
      <c r="AG211" s="1">
        <v>42615</v>
      </c>
      <c r="AH211">
        <v>700</v>
      </c>
      <c r="AI211" t="s">
        <v>40</v>
      </c>
      <c r="AJ211" t="s">
        <v>40</v>
      </c>
      <c r="AK211" t="s">
        <v>40</v>
      </c>
      <c r="AL211" t="s">
        <v>40</v>
      </c>
      <c r="AN211" t="s">
        <v>182</v>
      </c>
      <c r="AO211">
        <v>294</v>
      </c>
    </row>
    <row r="212" spans="1:41" x14ac:dyDescent="0.3">
      <c r="A212">
        <v>655887</v>
      </c>
      <c r="B212" t="s">
        <v>186</v>
      </c>
      <c r="C212" t="str">
        <f>_xlfn.XLOOKUP(B212,Match!$A$2:$A$111,Match!$B$2:$B$111)</f>
        <v>Jefferson, FL</v>
      </c>
      <c r="D212" t="str">
        <f>_xlfn.XLOOKUP(C212,Validation!$B$2:$B$68,Validation!$A$2:$A$68)</f>
        <v>12065</v>
      </c>
      <c r="E212" t="s">
        <v>40</v>
      </c>
      <c r="F212" s="1">
        <v>42614</v>
      </c>
      <c r="G212">
        <v>1900</v>
      </c>
      <c r="H212" t="s">
        <v>41</v>
      </c>
      <c r="I212" t="s">
        <v>40</v>
      </c>
      <c r="J212" t="s">
        <v>40</v>
      </c>
      <c r="K212">
        <v>0</v>
      </c>
      <c r="L212">
        <v>0</v>
      </c>
      <c r="M212">
        <v>0</v>
      </c>
      <c r="N212">
        <v>0</v>
      </c>
      <c r="O212" t="s">
        <v>42</v>
      </c>
      <c r="P212" t="s">
        <v>180</v>
      </c>
      <c r="Q212" t="s">
        <v>40</v>
      </c>
      <c r="R212">
        <v>108553</v>
      </c>
      <c r="S212" t="s">
        <v>44</v>
      </c>
      <c r="T212">
        <v>118</v>
      </c>
      <c r="U212" t="s">
        <v>106</v>
      </c>
      <c r="V212">
        <v>0</v>
      </c>
      <c r="W212">
        <v>0</v>
      </c>
      <c r="X212" t="s">
        <v>181</v>
      </c>
      <c r="Y212" t="s">
        <v>40</v>
      </c>
      <c r="Z212" t="s">
        <v>40</v>
      </c>
      <c r="AA212" t="s">
        <v>40</v>
      </c>
      <c r="AB212" t="s">
        <v>40</v>
      </c>
      <c r="AC212" t="s">
        <v>40</v>
      </c>
      <c r="AD212" t="s">
        <v>40</v>
      </c>
      <c r="AE212" t="s">
        <v>40</v>
      </c>
      <c r="AF212" t="s">
        <v>40</v>
      </c>
      <c r="AG212" s="1">
        <v>42615</v>
      </c>
      <c r="AH212">
        <v>700</v>
      </c>
      <c r="AI212" t="s">
        <v>40</v>
      </c>
      <c r="AJ212" t="s">
        <v>40</v>
      </c>
      <c r="AK212" t="s">
        <v>40</v>
      </c>
      <c r="AL212" t="s">
        <v>40</v>
      </c>
      <c r="AN212" t="s">
        <v>182</v>
      </c>
      <c r="AO212">
        <v>295</v>
      </c>
    </row>
    <row r="213" spans="1:41" x14ac:dyDescent="0.3">
      <c r="A213">
        <v>655889</v>
      </c>
      <c r="B213" t="s">
        <v>187</v>
      </c>
      <c r="C213" t="str">
        <f>_xlfn.XLOOKUP(B213,Match!$A$2:$A$111,Match!$B$2:$B$111)</f>
        <v>Jefferson, FL</v>
      </c>
      <c r="D213" t="str">
        <f>_xlfn.XLOOKUP(C213,Validation!$B$2:$B$68,Validation!$A$2:$A$68)</f>
        <v>12065</v>
      </c>
      <c r="E213" t="s">
        <v>40</v>
      </c>
      <c r="F213" s="1">
        <v>42614</v>
      </c>
      <c r="G213">
        <v>1900</v>
      </c>
      <c r="H213" t="s">
        <v>41</v>
      </c>
      <c r="I213" t="s">
        <v>40</v>
      </c>
      <c r="J213" t="s">
        <v>40</v>
      </c>
      <c r="K213">
        <v>0</v>
      </c>
      <c r="L213">
        <v>0</v>
      </c>
      <c r="M213">
        <v>682000</v>
      </c>
      <c r="N213">
        <v>0</v>
      </c>
      <c r="O213" t="s">
        <v>42</v>
      </c>
      <c r="P213" t="s">
        <v>180</v>
      </c>
      <c r="Q213" t="s">
        <v>40</v>
      </c>
      <c r="R213">
        <v>108553</v>
      </c>
      <c r="S213" t="s">
        <v>44</v>
      </c>
      <c r="T213">
        <v>18</v>
      </c>
      <c r="U213" t="s">
        <v>106</v>
      </c>
      <c r="V213">
        <v>0</v>
      </c>
      <c r="W213">
        <v>0</v>
      </c>
      <c r="X213" t="s">
        <v>181</v>
      </c>
      <c r="Y213" t="s">
        <v>40</v>
      </c>
      <c r="Z213" t="s">
        <v>40</v>
      </c>
      <c r="AA213" t="s">
        <v>40</v>
      </c>
      <c r="AB213" t="s">
        <v>40</v>
      </c>
      <c r="AC213" t="s">
        <v>40</v>
      </c>
      <c r="AD213" t="s">
        <v>40</v>
      </c>
      <c r="AE213" t="s">
        <v>40</v>
      </c>
      <c r="AF213" t="s">
        <v>40</v>
      </c>
      <c r="AG213" s="1">
        <v>42615</v>
      </c>
      <c r="AH213">
        <v>700</v>
      </c>
      <c r="AI213" t="s">
        <v>40</v>
      </c>
      <c r="AJ213" t="s">
        <v>40</v>
      </c>
      <c r="AK213" t="s">
        <v>40</v>
      </c>
      <c r="AL213" t="s">
        <v>40</v>
      </c>
      <c r="AN213" t="s">
        <v>182</v>
      </c>
      <c r="AO213">
        <v>296</v>
      </c>
    </row>
    <row r="214" spans="1:41" x14ac:dyDescent="0.3">
      <c r="A214">
        <v>657382</v>
      </c>
      <c r="B214" t="s">
        <v>188</v>
      </c>
      <c r="C214" t="str">
        <f>_xlfn.XLOOKUP(B214,Match!$A$2:$A$111,Match!$B$2:$B$111)</f>
        <v>Taylor, FL</v>
      </c>
      <c r="D214" t="str">
        <f>_xlfn.XLOOKUP(C214,Validation!$B$2:$B$68,Validation!$A$2:$A$68)</f>
        <v>12123</v>
      </c>
      <c r="E214" t="s">
        <v>40</v>
      </c>
      <c r="F214" s="1">
        <v>42614</v>
      </c>
      <c r="G214">
        <v>1900</v>
      </c>
      <c r="H214" t="s">
        <v>41</v>
      </c>
      <c r="I214" t="s">
        <v>40</v>
      </c>
      <c r="J214" t="s">
        <v>40</v>
      </c>
      <c r="K214">
        <v>0</v>
      </c>
      <c r="L214">
        <v>0</v>
      </c>
      <c r="M214">
        <v>453000</v>
      </c>
      <c r="N214">
        <v>0</v>
      </c>
      <c r="O214" t="s">
        <v>42</v>
      </c>
      <c r="P214" t="s">
        <v>180</v>
      </c>
      <c r="Q214" t="s">
        <v>40</v>
      </c>
      <c r="R214">
        <v>108553</v>
      </c>
      <c r="S214" t="s">
        <v>44</v>
      </c>
      <c r="T214">
        <v>128</v>
      </c>
      <c r="U214" t="s">
        <v>106</v>
      </c>
      <c r="V214">
        <v>0</v>
      </c>
      <c r="W214">
        <v>0</v>
      </c>
      <c r="X214" t="s">
        <v>181</v>
      </c>
      <c r="Y214" t="s">
        <v>40</v>
      </c>
      <c r="Z214" t="s">
        <v>40</v>
      </c>
      <c r="AA214" t="s">
        <v>40</v>
      </c>
      <c r="AB214" t="s">
        <v>40</v>
      </c>
      <c r="AC214" t="s">
        <v>40</v>
      </c>
      <c r="AD214" t="s">
        <v>40</v>
      </c>
      <c r="AE214" t="s">
        <v>40</v>
      </c>
      <c r="AF214" t="s">
        <v>40</v>
      </c>
      <c r="AG214" s="1">
        <v>42615</v>
      </c>
      <c r="AH214">
        <v>700</v>
      </c>
      <c r="AI214" t="s">
        <v>40</v>
      </c>
      <c r="AJ214" t="s">
        <v>40</v>
      </c>
      <c r="AK214" t="s">
        <v>40</v>
      </c>
      <c r="AL214" t="s">
        <v>40</v>
      </c>
      <c r="AN214" t="s">
        <v>182</v>
      </c>
      <c r="AO214">
        <v>297</v>
      </c>
    </row>
    <row r="215" spans="1:41" x14ac:dyDescent="0.3">
      <c r="A215">
        <v>657383</v>
      </c>
      <c r="B215" t="s">
        <v>189</v>
      </c>
      <c r="C215" t="str">
        <f>_xlfn.XLOOKUP(B215,Match!$A$2:$A$111,Match!$B$2:$B$111)</f>
        <v>Taylor, FL</v>
      </c>
      <c r="D215" t="str">
        <f>_xlfn.XLOOKUP(C215,Validation!$B$2:$B$68,Validation!$A$2:$A$68)</f>
        <v>12123</v>
      </c>
      <c r="E215" t="s">
        <v>40</v>
      </c>
      <c r="F215" s="1">
        <v>42614</v>
      </c>
      <c r="G215">
        <v>1900</v>
      </c>
      <c r="H215" t="s">
        <v>41</v>
      </c>
      <c r="I215" t="s">
        <v>40</v>
      </c>
      <c r="J215" t="s">
        <v>40</v>
      </c>
      <c r="K215">
        <v>0</v>
      </c>
      <c r="L215">
        <v>0</v>
      </c>
      <c r="M215">
        <v>453000</v>
      </c>
      <c r="N215">
        <v>0</v>
      </c>
      <c r="O215" t="s">
        <v>42</v>
      </c>
      <c r="P215" t="s">
        <v>180</v>
      </c>
      <c r="Q215" t="s">
        <v>40</v>
      </c>
      <c r="R215">
        <v>108553</v>
      </c>
      <c r="S215" t="s">
        <v>44</v>
      </c>
      <c r="T215">
        <v>28</v>
      </c>
      <c r="U215" t="s">
        <v>106</v>
      </c>
      <c r="V215">
        <v>0</v>
      </c>
      <c r="W215">
        <v>0</v>
      </c>
      <c r="X215" t="s">
        <v>181</v>
      </c>
      <c r="Y215" t="s">
        <v>40</v>
      </c>
      <c r="Z215" t="s">
        <v>40</v>
      </c>
      <c r="AA215" t="s">
        <v>40</v>
      </c>
      <c r="AB215" t="s">
        <v>40</v>
      </c>
      <c r="AC215" t="s">
        <v>40</v>
      </c>
      <c r="AD215" t="s">
        <v>40</v>
      </c>
      <c r="AE215" t="s">
        <v>40</v>
      </c>
      <c r="AF215" t="s">
        <v>40</v>
      </c>
      <c r="AG215" s="1">
        <v>42615</v>
      </c>
      <c r="AH215">
        <v>700</v>
      </c>
      <c r="AI215" t="s">
        <v>40</v>
      </c>
      <c r="AJ215" t="s">
        <v>40</v>
      </c>
      <c r="AK215" t="s">
        <v>40</v>
      </c>
      <c r="AL215" t="s">
        <v>40</v>
      </c>
      <c r="AN215" t="s">
        <v>182</v>
      </c>
      <c r="AO215">
        <v>298</v>
      </c>
    </row>
    <row r="216" spans="1:41" x14ac:dyDescent="0.3">
      <c r="A216">
        <v>661501</v>
      </c>
      <c r="B216" t="s">
        <v>71</v>
      </c>
      <c r="C216" t="str">
        <f>_xlfn.XLOOKUP(B216,Match!$A$2:$A$111,Match!$B$2:$B$111)</f>
        <v>Indian River, FL</v>
      </c>
      <c r="D216" t="str">
        <f>_xlfn.XLOOKUP(C216,Validation!$B$2:$B$68,Validation!$A$2:$A$68)</f>
        <v>12061</v>
      </c>
      <c r="E216" t="s">
        <v>40</v>
      </c>
      <c r="F216" s="1">
        <v>42649</v>
      </c>
      <c r="G216">
        <v>2000</v>
      </c>
      <c r="H216" t="s">
        <v>190</v>
      </c>
      <c r="I216" t="s">
        <v>40</v>
      </c>
      <c r="J216" t="s">
        <v>40</v>
      </c>
      <c r="K216">
        <v>0</v>
      </c>
      <c r="L216">
        <v>0</v>
      </c>
      <c r="M216">
        <v>15800000</v>
      </c>
      <c r="N216">
        <v>0</v>
      </c>
      <c r="O216" t="s">
        <v>42</v>
      </c>
      <c r="P216" t="s">
        <v>180</v>
      </c>
      <c r="Q216" t="s">
        <v>40</v>
      </c>
      <c r="R216">
        <v>110737</v>
      </c>
      <c r="S216" t="s">
        <v>44</v>
      </c>
      <c r="T216">
        <v>54</v>
      </c>
      <c r="U216" t="s">
        <v>66</v>
      </c>
      <c r="V216">
        <v>0</v>
      </c>
      <c r="W216">
        <v>0</v>
      </c>
      <c r="X216" t="s">
        <v>181</v>
      </c>
      <c r="Y216" t="s">
        <v>40</v>
      </c>
      <c r="Z216" t="s">
        <v>40</v>
      </c>
      <c r="AA216" t="s">
        <v>40</v>
      </c>
      <c r="AB216" t="s">
        <v>40</v>
      </c>
      <c r="AC216" t="s">
        <v>40</v>
      </c>
      <c r="AD216" t="s">
        <v>40</v>
      </c>
      <c r="AE216" t="s">
        <v>40</v>
      </c>
      <c r="AF216" t="s">
        <v>40</v>
      </c>
      <c r="AG216" s="1">
        <v>42650</v>
      </c>
      <c r="AH216">
        <v>800</v>
      </c>
      <c r="AI216" t="s">
        <v>40</v>
      </c>
      <c r="AJ216" t="s">
        <v>40</v>
      </c>
      <c r="AK216" t="s">
        <v>40</v>
      </c>
      <c r="AL216" t="s">
        <v>40</v>
      </c>
      <c r="AM216" t="s">
        <v>191</v>
      </c>
      <c r="AN216" t="s">
        <v>192</v>
      </c>
      <c r="AO216">
        <v>299</v>
      </c>
    </row>
    <row r="217" spans="1:41" x14ac:dyDescent="0.3">
      <c r="A217">
        <v>661647</v>
      </c>
      <c r="B217" t="s">
        <v>70</v>
      </c>
      <c r="C217" t="str">
        <f>_xlfn.XLOOKUP(B217,Match!$A$2:$A$111,Match!$B$2:$B$111)</f>
        <v>Brevard, FL</v>
      </c>
      <c r="D217" t="str">
        <f>_xlfn.XLOOKUP(C217,Validation!$B$2:$B$68,Validation!$A$2:$A$68)</f>
        <v>12009</v>
      </c>
      <c r="E217" t="s">
        <v>40</v>
      </c>
      <c r="F217" s="1">
        <v>42649</v>
      </c>
      <c r="G217">
        <v>2100</v>
      </c>
      <c r="H217" t="s">
        <v>190</v>
      </c>
      <c r="I217" t="s">
        <v>40</v>
      </c>
      <c r="J217" t="s">
        <v>40</v>
      </c>
      <c r="K217">
        <v>0</v>
      </c>
      <c r="L217">
        <v>1</v>
      </c>
      <c r="M217">
        <v>75000000</v>
      </c>
      <c r="N217">
        <v>0</v>
      </c>
      <c r="O217" t="s">
        <v>42</v>
      </c>
      <c r="P217" t="s">
        <v>180</v>
      </c>
      <c r="Q217" t="s">
        <v>40</v>
      </c>
      <c r="R217">
        <v>110737</v>
      </c>
      <c r="S217" t="s">
        <v>44</v>
      </c>
      <c r="T217">
        <v>47</v>
      </c>
      <c r="U217" t="s">
        <v>66</v>
      </c>
      <c r="V217">
        <v>0</v>
      </c>
      <c r="W217">
        <v>0</v>
      </c>
      <c r="X217" t="s">
        <v>193</v>
      </c>
      <c r="Y217" t="s">
        <v>40</v>
      </c>
      <c r="Z217" t="s">
        <v>40</v>
      </c>
      <c r="AA217" t="s">
        <v>40</v>
      </c>
      <c r="AB217" t="s">
        <v>40</v>
      </c>
      <c r="AC217" t="s">
        <v>40</v>
      </c>
      <c r="AD217" t="s">
        <v>40</v>
      </c>
      <c r="AE217" t="s">
        <v>40</v>
      </c>
      <c r="AF217" t="s">
        <v>40</v>
      </c>
      <c r="AG217" s="1">
        <v>42650</v>
      </c>
      <c r="AH217">
        <v>1400</v>
      </c>
      <c r="AI217" t="s">
        <v>40</v>
      </c>
      <c r="AJ217" t="s">
        <v>40</v>
      </c>
      <c r="AK217" t="s">
        <v>40</v>
      </c>
      <c r="AL217" t="s">
        <v>40</v>
      </c>
      <c r="AM217" t="s">
        <v>194</v>
      </c>
      <c r="AN217" t="s">
        <v>192</v>
      </c>
      <c r="AO217">
        <v>300</v>
      </c>
    </row>
    <row r="218" spans="1:41" x14ac:dyDescent="0.3">
      <c r="A218">
        <v>661648</v>
      </c>
      <c r="B218" t="s">
        <v>73</v>
      </c>
      <c r="C218" t="str">
        <f>_xlfn.XLOOKUP(B218,Match!$A$2:$A$111,Match!$B$2:$B$111)</f>
        <v>Volusia, FL</v>
      </c>
      <c r="D218" t="str">
        <f>_xlfn.XLOOKUP(C218,Validation!$B$2:$B$68,Validation!$A$2:$A$68)</f>
        <v>12127</v>
      </c>
      <c r="E218" t="s">
        <v>40</v>
      </c>
      <c r="F218" s="1">
        <v>42649</v>
      </c>
      <c r="G218">
        <v>2200</v>
      </c>
      <c r="H218" t="s">
        <v>190</v>
      </c>
      <c r="I218" t="s">
        <v>40</v>
      </c>
      <c r="J218" t="s">
        <v>40</v>
      </c>
      <c r="K218">
        <v>1</v>
      </c>
      <c r="L218">
        <v>0</v>
      </c>
      <c r="M218">
        <v>514400000</v>
      </c>
      <c r="N218">
        <v>0</v>
      </c>
      <c r="O218" t="s">
        <v>42</v>
      </c>
      <c r="P218" t="s">
        <v>180</v>
      </c>
      <c r="Q218" t="s">
        <v>40</v>
      </c>
      <c r="R218">
        <v>110737</v>
      </c>
      <c r="S218" t="s">
        <v>44</v>
      </c>
      <c r="T218">
        <v>41</v>
      </c>
      <c r="U218" t="s">
        <v>66</v>
      </c>
      <c r="V218">
        <v>0</v>
      </c>
      <c r="W218">
        <v>4</v>
      </c>
      <c r="X218" t="s">
        <v>193</v>
      </c>
      <c r="Y218" t="s">
        <v>40</v>
      </c>
      <c r="Z218" t="s">
        <v>40</v>
      </c>
      <c r="AA218" t="s">
        <v>40</v>
      </c>
      <c r="AB218" t="s">
        <v>40</v>
      </c>
      <c r="AC218" t="s">
        <v>40</v>
      </c>
      <c r="AD218" t="s">
        <v>40</v>
      </c>
      <c r="AE218" t="s">
        <v>40</v>
      </c>
      <c r="AF218" t="s">
        <v>40</v>
      </c>
      <c r="AG218" s="1">
        <v>42650</v>
      </c>
      <c r="AH218">
        <v>1700</v>
      </c>
      <c r="AI218" t="s">
        <v>40</v>
      </c>
      <c r="AJ218" t="s">
        <v>40</v>
      </c>
      <c r="AK218" t="s">
        <v>40</v>
      </c>
      <c r="AL218" t="s">
        <v>40</v>
      </c>
      <c r="AM218" t="s">
        <v>195</v>
      </c>
      <c r="AN218" t="s">
        <v>192</v>
      </c>
      <c r="AO218">
        <v>301</v>
      </c>
    </row>
    <row r="219" spans="1:41" x14ac:dyDescent="0.3">
      <c r="A219">
        <v>722003</v>
      </c>
      <c r="B219" t="s">
        <v>196</v>
      </c>
      <c r="C219" t="str">
        <f>_xlfn.XLOOKUP(B219,Match!$A$2:$A$111,Match!$B$2:$B$111)</f>
        <v>Pasco, FL</v>
      </c>
      <c r="D219" t="str">
        <f>_xlfn.XLOOKUP(C219,Validation!$B$2:$B$68,Validation!$A$2:$A$68)</f>
        <v>12101</v>
      </c>
      <c r="E219" t="s">
        <v>40</v>
      </c>
      <c r="F219" s="1">
        <v>42986</v>
      </c>
      <c r="G219">
        <v>2300</v>
      </c>
      <c r="H219" t="s">
        <v>190</v>
      </c>
      <c r="I219" t="s">
        <v>40</v>
      </c>
      <c r="J219" t="s">
        <v>40</v>
      </c>
      <c r="K219">
        <v>0</v>
      </c>
      <c r="L219">
        <v>0</v>
      </c>
      <c r="M219">
        <v>7000000</v>
      </c>
      <c r="N219">
        <v>0</v>
      </c>
      <c r="O219" t="s">
        <v>42</v>
      </c>
      <c r="P219" t="s">
        <v>180</v>
      </c>
      <c r="Q219" t="s">
        <v>40</v>
      </c>
      <c r="R219">
        <v>119520</v>
      </c>
      <c r="S219" t="s">
        <v>44</v>
      </c>
      <c r="T219">
        <v>149</v>
      </c>
      <c r="U219" t="s">
        <v>54</v>
      </c>
      <c r="V219">
        <v>0</v>
      </c>
      <c r="W219">
        <v>1</v>
      </c>
      <c r="X219" t="s">
        <v>181</v>
      </c>
      <c r="Y219" t="s">
        <v>40</v>
      </c>
      <c r="Z219" t="s">
        <v>40</v>
      </c>
      <c r="AA219" t="s">
        <v>40</v>
      </c>
      <c r="AB219" t="s">
        <v>40</v>
      </c>
      <c r="AC219" t="s">
        <v>40</v>
      </c>
      <c r="AD219" t="s">
        <v>40</v>
      </c>
      <c r="AE219" t="s">
        <v>40</v>
      </c>
      <c r="AF219" t="s">
        <v>40</v>
      </c>
      <c r="AG219" s="1">
        <v>42989</v>
      </c>
      <c r="AH219">
        <v>900</v>
      </c>
      <c r="AI219" t="s">
        <v>40</v>
      </c>
      <c r="AJ219" t="s">
        <v>40</v>
      </c>
      <c r="AK219" t="s">
        <v>40</v>
      </c>
      <c r="AL219" t="s">
        <v>40</v>
      </c>
      <c r="AM219" t="s">
        <v>197</v>
      </c>
      <c r="AN219" t="s">
        <v>198</v>
      </c>
      <c r="AO219">
        <v>302</v>
      </c>
    </row>
    <row r="220" spans="1:41" x14ac:dyDescent="0.3">
      <c r="A220">
        <v>722914</v>
      </c>
      <c r="B220" t="s">
        <v>199</v>
      </c>
      <c r="C220" t="str">
        <f>_xlfn.XLOOKUP(B220,Match!$A$2:$A$111,Match!$B$2:$B$111)</f>
        <v>Monroe, FL</v>
      </c>
      <c r="D220" t="str">
        <f>_xlfn.XLOOKUP(C220,Validation!$B$2:$B$68,Validation!$A$2:$A$68)</f>
        <v>12087</v>
      </c>
      <c r="E220" t="s">
        <v>40</v>
      </c>
      <c r="F220" s="1">
        <v>42987</v>
      </c>
      <c r="G220">
        <v>600</v>
      </c>
      <c r="H220" t="s">
        <v>190</v>
      </c>
      <c r="I220" t="s">
        <v>40</v>
      </c>
      <c r="J220" t="s">
        <v>40</v>
      </c>
      <c r="K220">
        <v>0</v>
      </c>
      <c r="L220">
        <v>0</v>
      </c>
      <c r="M220">
        <v>0</v>
      </c>
      <c r="N220">
        <v>0</v>
      </c>
      <c r="O220" t="s">
        <v>42</v>
      </c>
      <c r="P220" t="s">
        <v>180</v>
      </c>
      <c r="Q220" t="s">
        <v>40</v>
      </c>
      <c r="R220">
        <v>120690</v>
      </c>
      <c r="S220" t="s">
        <v>44</v>
      </c>
      <c r="T220">
        <v>75</v>
      </c>
      <c r="U220" t="s">
        <v>45</v>
      </c>
      <c r="V220">
        <v>0</v>
      </c>
      <c r="W220">
        <v>0</v>
      </c>
      <c r="X220" t="s">
        <v>200</v>
      </c>
      <c r="Y220" t="s">
        <v>40</v>
      </c>
      <c r="Z220" t="s">
        <v>40</v>
      </c>
      <c r="AA220" t="s">
        <v>40</v>
      </c>
      <c r="AB220" t="s">
        <v>40</v>
      </c>
      <c r="AC220" t="s">
        <v>40</v>
      </c>
      <c r="AD220" t="s">
        <v>40</v>
      </c>
      <c r="AE220" t="s">
        <v>40</v>
      </c>
      <c r="AF220" t="s">
        <v>40</v>
      </c>
      <c r="AG220" s="1">
        <v>42988</v>
      </c>
      <c r="AH220">
        <v>2000</v>
      </c>
      <c r="AI220" t="s">
        <v>40</v>
      </c>
      <c r="AJ220" t="s">
        <v>40</v>
      </c>
      <c r="AK220" t="s">
        <v>40</v>
      </c>
      <c r="AL220" t="s">
        <v>40</v>
      </c>
      <c r="AM220" t="s">
        <v>201</v>
      </c>
      <c r="AN220" t="s">
        <v>202</v>
      </c>
      <c r="AO220">
        <v>303</v>
      </c>
    </row>
    <row r="221" spans="1:41" x14ac:dyDescent="0.3">
      <c r="A221">
        <v>723287</v>
      </c>
      <c r="B221" t="s">
        <v>203</v>
      </c>
      <c r="C221" t="str">
        <f>_xlfn.XLOOKUP(B221,Match!$A$2:$A$111,Match!$B$2:$B$111)</f>
        <v>Miami-Dade, FL</v>
      </c>
      <c r="D221" t="str">
        <f>_xlfn.XLOOKUP(C221,Validation!$B$2:$B$68,Validation!$A$2:$A$68)</f>
        <v>12086</v>
      </c>
      <c r="E221" t="s">
        <v>40</v>
      </c>
      <c r="F221" s="1">
        <v>42987</v>
      </c>
      <c r="G221">
        <v>800</v>
      </c>
      <c r="H221" t="s">
        <v>190</v>
      </c>
      <c r="I221" t="s">
        <v>40</v>
      </c>
      <c r="J221" t="s">
        <v>40</v>
      </c>
      <c r="K221">
        <v>0</v>
      </c>
      <c r="L221">
        <v>0</v>
      </c>
      <c r="M221">
        <v>0</v>
      </c>
      <c r="N221">
        <v>0</v>
      </c>
      <c r="O221" t="s">
        <v>42</v>
      </c>
      <c r="P221" t="s">
        <v>180</v>
      </c>
      <c r="Q221" t="s">
        <v>40</v>
      </c>
      <c r="R221">
        <v>120690</v>
      </c>
      <c r="S221" t="s">
        <v>44</v>
      </c>
      <c r="T221">
        <v>174</v>
      </c>
      <c r="U221" t="s">
        <v>45</v>
      </c>
      <c r="V221">
        <v>0</v>
      </c>
      <c r="W221">
        <v>0</v>
      </c>
      <c r="X221" t="s">
        <v>193</v>
      </c>
      <c r="Y221" t="s">
        <v>40</v>
      </c>
      <c r="Z221" t="s">
        <v>40</v>
      </c>
      <c r="AA221" t="s">
        <v>40</v>
      </c>
      <c r="AB221" t="s">
        <v>40</v>
      </c>
      <c r="AC221" t="s">
        <v>40</v>
      </c>
      <c r="AD221" t="s">
        <v>40</v>
      </c>
      <c r="AE221" t="s">
        <v>40</v>
      </c>
      <c r="AF221" t="s">
        <v>40</v>
      </c>
      <c r="AG221" s="1">
        <v>42988</v>
      </c>
      <c r="AH221">
        <v>2000</v>
      </c>
      <c r="AI221" t="s">
        <v>40</v>
      </c>
      <c r="AJ221" t="s">
        <v>40</v>
      </c>
      <c r="AK221" t="s">
        <v>40</v>
      </c>
      <c r="AL221" t="s">
        <v>40</v>
      </c>
      <c r="AM221" t="s">
        <v>204</v>
      </c>
      <c r="AN221" t="s">
        <v>202</v>
      </c>
      <c r="AO221">
        <v>304</v>
      </c>
    </row>
    <row r="222" spans="1:41" x14ac:dyDescent="0.3">
      <c r="A222">
        <v>723286</v>
      </c>
      <c r="B222" t="s">
        <v>205</v>
      </c>
      <c r="C222" t="str">
        <f>_xlfn.XLOOKUP(B222,Match!$A$2:$A$111,Match!$B$2:$B$111)</f>
        <v>Miami-Dade, FL</v>
      </c>
      <c r="D222" t="str">
        <f>_xlfn.XLOOKUP(C222,Validation!$B$2:$B$68,Validation!$A$2:$A$68)</f>
        <v>12086</v>
      </c>
      <c r="E222" t="s">
        <v>40</v>
      </c>
      <c r="F222" s="1">
        <v>42987</v>
      </c>
      <c r="G222">
        <v>900</v>
      </c>
      <c r="H222" t="s">
        <v>190</v>
      </c>
      <c r="I222" t="s">
        <v>40</v>
      </c>
      <c r="J222" t="s">
        <v>40</v>
      </c>
      <c r="K222">
        <v>0</v>
      </c>
      <c r="L222">
        <v>0</v>
      </c>
      <c r="M222">
        <v>0</v>
      </c>
      <c r="N222">
        <v>0</v>
      </c>
      <c r="O222" t="s">
        <v>42</v>
      </c>
      <c r="P222" t="s">
        <v>180</v>
      </c>
      <c r="Q222" t="s">
        <v>40</v>
      </c>
      <c r="R222">
        <v>120690</v>
      </c>
      <c r="S222" t="s">
        <v>44</v>
      </c>
      <c r="T222">
        <v>73</v>
      </c>
      <c r="U222" t="s">
        <v>45</v>
      </c>
      <c r="V222">
        <v>0</v>
      </c>
      <c r="W222">
        <v>0</v>
      </c>
      <c r="X222" t="s">
        <v>193</v>
      </c>
      <c r="Y222" t="s">
        <v>40</v>
      </c>
      <c r="Z222" t="s">
        <v>40</v>
      </c>
      <c r="AA222" t="s">
        <v>40</v>
      </c>
      <c r="AB222" t="s">
        <v>40</v>
      </c>
      <c r="AC222" t="s">
        <v>40</v>
      </c>
      <c r="AD222" t="s">
        <v>40</v>
      </c>
      <c r="AE222" t="s">
        <v>40</v>
      </c>
      <c r="AF222" t="s">
        <v>40</v>
      </c>
      <c r="AG222" s="1">
        <v>42988</v>
      </c>
      <c r="AH222">
        <v>2100</v>
      </c>
      <c r="AI222" t="s">
        <v>40</v>
      </c>
      <c r="AJ222" t="s">
        <v>40</v>
      </c>
      <c r="AK222" t="s">
        <v>40</v>
      </c>
      <c r="AL222" t="s">
        <v>40</v>
      </c>
      <c r="AM222" t="s">
        <v>206</v>
      </c>
      <c r="AN222" t="s">
        <v>202</v>
      </c>
      <c r="AO222">
        <v>305</v>
      </c>
    </row>
    <row r="223" spans="1:41" x14ac:dyDescent="0.3">
      <c r="A223">
        <v>723457</v>
      </c>
      <c r="B223" t="s">
        <v>87</v>
      </c>
      <c r="C223" t="str">
        <f>_xlfn.XLOOKUP(B223,Match!$A$2:$A$111,Match!$B$2:$B$111)</f>
        <v>Monroe, FL</v>
      </c>
      <c r="D223" t="str">
        <f>_xlfn.XLOOKUP(C223,Validation!$B$2:$B$68,Validation!$A$2:$A$68)</f>
        <v>12087</v>
      </c>
      <c r="E223" t="s">
        <v>40</v>
      </c>
      <c r="F223" s="1">
        <v>42987</v>
      </c>
      <c r="G223">
        <v>930</v>
      </c>
      <c r="H223" t="s">
        <v>190</v>
      </c>
      <c r="I223" t="s">
        <v>40</v>
      </c>
      <c r="J223" t="s">
        <v>40</v>
      </c>
      <c r="K223">
        <v>0</v>
      </c>
      <c r="L223">
        <v>15</v>
      </c>
      <c r="M223">
        <v>0</v>
      </c>
      <c r="N223">
        <v>0</v>
      </c>
      <c r="O223" t="s">
        <v>42</v>
      </c>
      <c r="P223" t="s">
        <v>180</v>
      </c>
      <c r="Q223" t="s">
        <v>40</v>
      </c>
      <c r="R223">
        <v>120809</v>
      </c>
      <c r="S223" t="s">
        <v>44</v>
      </c>
      <c r="T223">
        <v>77</v>
      </c>
      <c r="U223" t="s">
        <v>207</v>
      </c>
      <c r="V223">
        <v>0</v>
      </c>
      <c r="W223">
        <v>3</v>
      </c>
      <c r="X223" t="s">
        <v>193</v>
      </c>
      <c r="Y223" t="s">
        <v>40</v>
      </c>
      <c r="Z223" t="s">
        <v>40</v>
      </c>
      <c r="AA223" t="s">
        <v>40</v>
      </c>
      <c r="AB223" t="s">
        <v>40</v>
      </c>
      <c r="AC223" t="s">
        <v>40</v>
      </c>
      <c r="AD223" t="s">
        <v>40</v>
      </c>
      <c r="AE223" t="s">
        <v>40</v>
      </c>
      <c r="AF223" t="s">
        <v>40</v>
      </c>
      <c r="AG223" s="1">
        <v>42988</v>
      </c>
      <c r="AH223">
        <v>1600</v>
      </c>
      <c r="AI223" t="s">
        <v>40</v>
      </c>
      <c r="AJ223" t="s">
        <v>40</v>
      </c>
      <c r="AK223" t="s">
        <v>40</v>
      </c>
      <c r="AL223" t="s">
        <v>40</v>
      </c>
      <c r="AM223" t="s">
        <v>208</v>
      </c>
      <c r="AN223" t="s">
        <v>209</v>
      </c>
      <c r="AO223">
        <v>306</v>
      </c>
    </row>
    <row r="224" spans="1:41" x14ac:dyDescent="0.3">
      <c r="A224">
        <v>723459</v>
      </c>
      <c r="B224" t="s">
        <v>88</v>
      </c>
      <c r="C224" t="str">
        <f>_xlfn.XLOOKUP(B224,Match!$A$2:$A$111,Match!$B$2:$B$111)</f>
        <v>Monroe, FL</v>
      </c>
      <c r="D224" t="str">
        <f>_xlfn.XLOOKUP(C224,Validation!$B$2:$B$68,Validation!$A$2:$A$68)</f>
        <v>12087</v>
      </c>
      <c r="E224" t="s">
        <v>40</v>
      </c>
      <c r="F224" s="1">
        <v>42987</v>
      </c>
      <c r="G224">
        <v>1000</v>
      </c>
      <c r="H224" t="s">
        <v>190</v>
      </c>
      <c r="I224" t="s">
        <v>40</v>
      </c>
      <c r="J224" t="s">
        <v>40</v>
      </c>
      <c r="K224">
        <v>0</v>
      </c>
      <c r="L224">
        <v>5</v>
      </c>
      <c r="M224">
        <v>0</v>
      </c>
      <c r="N224">
        <v>0</v>
      </c>
      <c r="O224" t="s">
        <v>42</v>
      </c>
      <c r="P224" t="s">
        <v>180</v>
      </c>
      <c r="Q224" t="s">
        <v>40</v>
      </c>
      <c r="R224">
        <v>120809</v>
      </c>
      <c r="S224" t="s">
        <v>44</v>
      </c>
      <c r="T224">
        <v>76</v>
      </c>
      <c r="U224" t="s">
        <v>207</v>
      </c>
      <c r="V224">
        <v>0</v>
      </c>
      <c r="W224">
        <v>1</v>
      </c>
      <c r="X224" t="s">
        <v>193</v>
      </c>
      <c r="Y224" t="s">
        <v>40</v>
      </c>
      <c r="Z224" t="s">
        <v>40</v>
      </c>
      <c r="AA224" t="s">
        <v>40</v>
      </c>
      <c r="AB224" t="s">
        <v>40</v>
      </c>
      <c r="AC224" t="s">
        <v>40</v>
      </c>
      <c r="AD224" t="s">
        <v>40</v>
      </c>
      <c r="AE224" t="s">
        <v>40</v>
      </c>
      <c r="AF224" t="s">
        <v>40</v>
      </c>
      <c r="AG224" s="1">
        <v>42988</v>
      </c>
      <c r="AH224">
        <v>1930</v>
      </c>
      <c r="AI224" t="s">
        <v>40</v>
      </c>
      <c r="AJ224" t="s">
        <v>40</v>
      </c>
      <c r="AK224" t="s">
        <v>40</v>
      </c>
      <c r="AL224" t="s">
        <v>40</v>
      </c>
      <c r="AM224" t="s">
        <v>210</v>
      </c>
      <c r="AN224" t="s">
        <v>209</v>
      </c>
      <c r="AO224">
        <v>307</v>
      </c>
    </row>
    <row r="225" spans="1:41" x14ac:dyDescent="0.3">
      <c r="A225">
        <v>723450</v>
      </c>
      <c r="B225" t="s">
        <v>84</v>
      </c>
      <c r="C225" t="str">
        <f>_xlfn.XLOOKUP(B225,Match!$A$2:$A$111,Match!$B$2:$B$111)</f>
        <v>Monroe, FL</v>
      </c>
      <c r="D225" t="str">
        <f>_xlfn.XLOOKUP(C225,Validation!$B$2:$B$68,Validation!$A$2:$A$68)</f>
        <v>12087</v>
      </c>
      <c r="E225" t="s">
        <v>40</v>
      </c>
      <c r="F225" s="1">
        <v>42987</v>
      </c>
      <c r="G225">
        <v>1015</v>
      </c>
      <c r="H225" t="s">
        <v>190</v>
      </c>
      <c r="I225" t="s">
        <v>40</v>
      </c>
      <c r="J225" t="s">
        <v>40</v>
      </c>
      <c r="K225">
        <v>2</v>
      </c>
      <c r="L225">
        <v>20</v>
      </c>
      <c r="M225">
        <v>0</v>
      </c>
      <c r="N225">
        <v>0</v>
      </c>
      <c r="O225" t="s">
        <v>42</v>
      </c>
      <c r="P225" t="s">
        <v>180</v>
      </c>
      <c r="Q225" t="s">
        <v>40</v>
      </c>
      <c r="R225">
        <v>120809</v>
      </c>
      <c r="S225" t="s">
        <v>44</v>
      </c>
      <c r="T225">
        <v>78</v>
      </c>
      <c r="U225" t="s">
        <v>207</v>
      </c>
      <c r="V225">
        <v>0</v>
      </c>
      <c r="W225">
        <v>2</v>
      </c>
      <c r="X225" t="s">
        <v>193</v>
      </c>
      <c r="Y225" t="s">
        <v>40</v>
      </c>
      <c r="Z225" t="s">
        <v>40</v>
      </c>
      <c r="AA225" t="s">
        <v>40</v>
      </c>
      <c r="AB225" t="s">
        <v>40</v>
      </c>
      <c r="AC225" t="s">
        <v>40</v>
      </c>
      <c r="AD225" t="s">
        <v>40</v>
      </c>
      <c r="AE225" t="s">
        <v>40</v>
      </c>
      <c r="AF225" t="s">
        <v>40</v>
      </c>
      <c r="AG225" s="1">
        <v>42988</v>
      </c>
      <c r="AH225">
        <v>1630</v>
      </c>
      <c r="AI225" t="s">
        <v>40</v>
      </c>
      <c r="AJ225" t="s">
        <v>40</v>
      </c>
      <c r="AK225" t="s">
        <v>40</v>
      </c>
      <c r="AL225" t="s">
        <v>40</v>
      </c>
      <c r="AM225" t="s">
        <v>211</v>
      </c>
      <c r="AN225" t="s">
        <v>209</v>
      </c>
      <c r="AO225">
        <v>308</v>
      </c>
    </row>
    <row r="226" spans="1:41" x14ac:dyDescent="0.3">
      <c r="A226">
        <v>722895</v>
      </c>
      <c r="B226" t="s">
        <v>212</v>
      </c>
      <c r="C226" t="str">
        <f>_xlfn.XLOOKUP(B226,Match!$A$2:$A$111,Match!$B$2:$B$111)</f>
        <v>Collier, FL</v>
      </c>
      <c r="D226" t="str">
        <f>_xlfn.XLOOKUP(C226,Validation!$B$2:$B$68,Validation!$A$2:$A$68)</f>
        <v>12021</v>
      </c>
      <c r="E226" t="s">
        <v>40</v>
      </c>
      <c r="F226" s="1">
        <v>42987</v>
      </c>
      <c r="G226">
        <v>1600</v>
      </c>
      <c r="H226" t="s">
        <v>190</v>
      </c>
      <c r="I226" t="s">
        <v>40</v>
      </c>
      <c r="J226" t="s">
        <v>40</v>
      </c>
      <c r="K226">
        <v>0</v>
      </c>
      <c r="L226">
        <v>0</v>
      </c>
      <c r="M226">
        <v>222500000</v>
      </c>
      <c r="N226">
        <v>0</v>
      </c>
      <c r="O226" t="s">
        <v>42</v>
      </c>
      <c r="P226" t="s">
        <v>180</v>
      </c>
      <c r="Q226" t="s">
        <v>40</v>
      </c>
      <c r="R226">
        <v>120690</v>
      </c>
      <c r="S226" t="s">
        <v>44</v>
      </c>
      <c r="T226">
        <v>69</v>
      </c>
      <c r="U226" t="s">
        <v>45</v>
      </c>
      <c r="V226">
        <v>0</v>
      </c>
      <c r="W226">
        <v>1</v>
      </c>
      <c r="X226" t="s">
        <v>193</v>
      </c>
      <c r="Y226" t="s">
        <v>40</v>
      </c>
      <c r="Z226" t="s">
        <v>40</v>
      </c>
      <c r="AA226" t="s">
        <v>40</v>
      </c>
      <c r="AB226" t="s">
        <v>40</v>
      </c>
      <c r="AC226" t="s">
        <v>40</v>
      </c>
      <c r="AD226" t="s">
        <v>40</v>
      </c>
      <c r="AE226" t="s">
        <v>40</v>
      </c>
      <c r="AF226" t="s">
        <v>40</v>
      </c>
      <c r="AG226" s="1">
        <v>42989</v>
      </c>
      <c r="AH226">
        <v>600</v>
      </c>
      <c r="AI226" t="s">
        <v>40</v>
      </c>
      <c r="AJ226" t="s">
        <v>40</v>
      </c>
      <c r="AK226" t="s">
        <v>40</v>
      </c>
      <c r="AL226" t="s">
        <v>40</v>
      </c>
      <c r="AM226" t="s">
        <v>213</v>
      </c>
      <c r="AN226" t="s">
        <v>202</v>
      </c>
      <c r="AO226">
        <v>309</v>
      </c>
    </row>
    <row r="227" spans="1:41" x14ac:dyDescent="0.3">
      <c r="A227">
        <v>723255</v>
      </c>
      <c r="B227" t="s">
        <v>214</v>
      </c>
      <c r="C227" t="str">
        <f>_xlfn.XLOOKUP(B227,Match!$A$2:$A$111,Match!$B$2:$B$111)</f>
        <v>Collier, FL</v>
      </c>
      <c r="D227" t="str">
        <f>_xlfn.XLOOKUP(C227,Validation!$B$2:$B$68,Validation!$A$2:$A$68)</f>
        <v>12021</v>
      </c>
      <c r="E227" t="s">
        <v>40</v>
      </c>
      <c r="F227" s="1">
        <v>42987</v>
      </c>
      <c r="G227">
        <v>1600</v>
      </c>
      <c r="H227" t="s">
        <v>190</v>
      </c>
      <c r="I227" t="s">
        <v>40</v>
      </c>
      <c r="J227" t="s">
        <v>40</v>
      </c>
      <c r="K227">
        <v>0</v>
      </c>
      <c r="L227">
        <v>0</v>
      </c>
      <c r="M227">
        <v>0</v>
      </c>
      <c r="N227">
        <v>0</v>
      </c>
      <c r="O227" t="s">
        <v>42</v>
      </c>
      <c r="P227" t="s">
        <v>180</v>
      </c>
      <c r="Q227" t="s">
        <v>40</v>
      </c>
      <c r="R227">
        <v>120690</v>
      </c>
      <c r="S227" t="s">
        <v>44</v>
      </c>
      <c r="T227">
        <v>70</v>
      </c>
      <c r="U227" t="s">
        <v>45</v>
      </c>
      <c r="V227">
        <v>0</v>
      </c>
      <c r="W227">
        <v>1</v>
      </c>
      <c r="X227" t="s">
        <v>193</v>
      </c>
      <c r="Y227" t="s">
        <v>40</v>
      </c>
      <c r="Z227" t="s">
        <v>40</v>
      </c>
      <c r="AA227" t="s">
        <v>40</v>
      </c>
      <c r="AB227" t="s">
        <v>40</v>
      </c>
      <c r="AC227" t="s">
        <v>40</v>
      </c>
      <c r="AD227" t="s">
        <v>40</v>
      </c>
      <c r="AE227" t="s">
        <v>40</v>
      </c>
      <c r="AF227" t="s">
        <v>40</v>
      </c>
      <c r="AG227" s="1">
        <v>42989</v>
      </c>
      <c r="AH227">
        <v>600</v>
      </c>
      <c r="AI227" t="s">
        <v>40</v>
      </c>
      <c r="AJ227" t="s">
        <v>40</v>
      </c>
      <c r="AK227" t="s">
        <v>40</v>
      </c>
      <c r="AL227" t="s">
        <v>40</v>
      </c>
      <c r="AM227" t="s">
        <v>215</v>
      </c>
      <c r="AN227" t="s">
        <v>202</v>
      </c>
      <c r="AO227">
        <v>310</v>
      </c>
    </row>
    <row r="228" spans="1:41" x14ac:dyDescent="0.3">
      <c r="A228">
        <v>721738</v>
      </c>
      <c r="B228" t="s">
        <v>216</v>
      </c>
      <c r="C228" t="str">
        <f>_xlfn.XLOOKUP(B228,Match!$A$2:$A$111,Match!$B$2:$B$111)</f>
        <v>Charlotte, FL</v>
      </c>
      <c r="D228" t="str">
        <f>_xlfn.XLOOKUP(C228,Validation!$B$2:$B$68,Validation!$A$2:$A$68)</f>
        <v>12015</v>
      </c>
      <c r="E228" t="s">
        <v>40</v>
      </c>
      <c r="F228" s="1">
        <v>42988</v>
      </c>
      <c r="G228">
        <v>500</v>
      </c>
      <c r="H228" t="s">
        <v>190</v>
      </c>
      <c r="I228" t="s">
        <v>40</v>
      </c>
      <c r="J228" t="s">
        <v>40</v>
      </c>
      <c r="K228">
        <v>0</v>
      </c>
      <c r="L228">
        <v>0</v>
      </c>
      <c r="M228">
        <v>100000</v>
      </c>
      <c r="N228">
        <v>15900000</v>
      </c>
      <c r="O228" t="s">
        <v>42</v>
      </c>
      <c r="P228" t="s">
        <v>180</v>
      </c>
      <c r="Q228" t="s">
        <v>40</v>
      </c>
      <c r="R228">
        <v>119520</v>
      </c>
      <c r="S228" t="s">
        <v>44</v>
      </c>
      <c r="T228">
        <v>262</v>
      </c>
      <c r="U228" t="s">
        <v>54</v>
      </c>
      <c r="V228">
        <v>0</v>
      </c>
      <c r="W228">
        <v>0</v>
      </c>
      <c r="X228" t="s">
        <v>181</v>
      </c>
      <c r="Y228" t="s">
        <v>40</v>
      </c>
      <c r="Z228" t="s">
        <v>40</v>
      </c>
      <c r="AA228" t="s">
        <v>40</v>
      </c>
      <c r="AB228" t="s">
        <v>40</v>
      </c>
      <c r="AC228" t="s">
        <v>40</v>
      </c>
      <c r="AD228" t="s">
        <v>40</v>
      </c>
      <c r="AE228" t="s">
        <v>40</v>
      </c>
      <c r="AF228" t="s">
        <v>40</v>
      </c>
      <c r="AG228" s="1">
        <v>42989</v>
      </c>
      <c r="AH228">
        <v>700</v>
      </c>
      <c r="AI228" t="s">
        <v>40</v>
      </c>
      <c r="AJ228" t="s">
        <v>40</v>
      </c>
      <c r="AK228" t="s">
        <v>40</v>
      </c>
      <c r="AL228" t="s">
        <v>40</v>
      </c>
      <c r="AM228" t="s">
        <v>217</v>
      </c>
      <c r="AN228" t="s">
        <v>198</v>
      </c>
      <c r="AO228">
        <v>311</v>
      </c>
    </row>
    <row r="229" spans="1:41" x14ac:dyDescent="0.3">
      <c r="A229">
        <v>721736</v>
      </c>
      <c r="B229" t="s">
        <v>218</v>
      </c>
      <c r="C229" t="str">
        <f>_xlfn.XLOOKUP(B229,Match!$A$2:$A$111,Match!$B$2:$B$111)</f>
        <v>Lee, FL</v>
      </c>
      <c r="D229" t="str">
        <f>_xlfn.XLOOKUP(C229,Validation!$B$2:$B$68,Validation!$A$2:$A$68)</f>
        <v>12071</v>
      </c>
      <c r="E229" t="s">
        <v>40</v>
      </c>
      <c r="F229" s="1">
        <v>42988</v>
      </c>
      <c r="G229">
        <v>500</v>
      </c>
      <c r="H229" t="s">
        <v>190</v>
      </c>
      <c r="I229" t="s">
        <v>40</v>
      </c>
      <c r="J229" t="s">
        <v>40</v>
      </c>
      <c r="K229">
        <v>0</v>
      </c>
      <c r="L229">
        <v>0</v>
      </c>
      <c r="M229">
        <v>163140000</v>
      </c>
      <c r="N229">
        <v>9600000</v>
      </c>
      <c r="O229" t="s">
        <v>42</v>
      </c>
      <c r="P229" t="s">
        <v>180</v>
      </c>
      <c r="Q229" t="s">
        <v>40</v>
      </c>
      <c r="R229">
        <v>119520</v>
      </c>
      <c r="S229" t="s">
        <v>44</v>
      </c>
      <c r="T229">
        <v>265</v>
      </c>
      <c r="U229" t="s">
        <v>54</v>
      </c>
      <c r="V229">
        <v>0</v>
      </c>
      <c r="W229">
        <v>0</v>
      </c>
      <c r="X229" t="s">
        <v>181</v>
      </c>
      <c r="Y229" t="s">
        <v>40</v>
      </c>
      <c r="Z229" t="s">
        <v>40</v>
      </c>
      <c r="AA229" t="s">
        <v>40</v>
      </c>
      <c r="AB229" t="s">
        <v>40</v>
      </c>
      <c r="AC229" t="s">
        <v>40</v>
      </c>
      <c r="AD229" t="s">
        <v>40</v>
      </c>
      <c r="AE229" t="s">
        <v>40</v>
      </c>
      <c r="AF229" t="s">
        <v>40</v>
      </c>
      <c r="AG229" s="1">
        <v>42989</v>
      </c>
      <c r="AH229">
        <v>300</v>
      </c>
      <c r="AI229" t="s">
        <v>40</v>
      </c>
      <c r="AJ229" t="s">
        <v>40</v>
      </c>
      <c r="AK229" t="s">
        <v>40</v>
      </c>
      <c r="AL229" t="s">
        <v>40</v>
      </c>
      <c r="AM229" t="s">
        <v>219</v>
      </c>
      <c r="AN229" t="s">
        <v>198</v>
      </c>
      <c r="AO229">
        <v>312</v>
      </c>
    </row>
    <row r="230" spans="1:41" x14ac:dyDescent="0.3">
      <c r="A230">
        <v>721768</v>
      </c>
      <c r="B230" t="s">
        <v>53</v>
      </c>
      <c r="C230" t="str">
        <f>_xlfn.XLOOKUP(B230,Match!$A$2:$A$111,Match!$B$2:$B$111)</f>
        <v>DeSoto, FL</v>
      </c>
      <c r="D230" t="str">
        <f>_xlfn.XLOOKUP(C230,Validation!$B$2:$B$68,Validation!$A$2:$A$68)</f>
        <v>12027</v>
      </c>
      <c r="E230" t="s">
        <v>40</v>
      </c>
      <c r="F230" s="1">
        <v>42988</v>
      </c>
      <c r="G230">
        <v>600</v>
      </c>
      <c r="H230" t="s">
        <v>190</v>
      </c>
      <c r="I230" t="s">
        <v>40</v>
      </c>
      <c r="J230" t="s">
        <v>40</v>
      </c>
      <c r="K230">
        <v>0</v>
      </c>
      <c r="L230">
        <v>0</v>
      </c>
      <c r="M230">
        <v>0</v>
      </c>
      <c r="N230">
        <v>71000000</v>
      </c>
      <c r="O230" t="s">
        <v>42</v>
      </c>
      <c r="P230" t="s">
        <v>180</v>
      </c>
      <c r="Q230" t="s">
        <v>40</v>
      </c>
      <c r="R230">
        <v>119520</v>
      </c>
      <c r="S230" t="s">
        <v>44</v>
      </c>
      <c r="T230">
        <v>61</v>
      </c>
      <c r="U230" t="s">
        <v>54</v>
      </c>
      <c r="V230">
        <v>0</v>
      </c>
      <c r="W230">
        <v>0</v>
      </c>
      <c r="X230" t="s">
        <v>181</v>
      </c>
      <c r="Y230" t="s">
        <v>40</v>
      </c>
      <c r="Z230" t="s">
        <v>40</v>
      </c>
      <c r="AA230" t="s">
        <v>40</v>
      </c>
      <c r="AB230" t="s">
        <v>40</v>
      </c>
      <c r="AC230" t="s">
        <v>40</v>
      </c>
      <c r="AD230" t="s">
        <v>40</v>
      </c>
      <c r="AE230" t="s">
        <v>40</v>
      </c>
      <c r="AF230" t="s">
        <v>40</v>
      </c>
      <c r="AG230" s="1">
        <v>42989</v>
      </c>
      <c r="AH230">
        <v>900</v>
      </c>
      <c r="AI230" t="s">
        <v>40</v>
      </c>
      <c r="AJ230" t="s">
        <v>40</v>
      </c>
      <c r="AK230" t="s">
        <v>40</v>
      </c>
      <c r="AL230" t="s">
        <v>40</v>
      </c>
      <c r="AM230" t="s">
        <v>220</v>
      </c>
      <c r="AN230" t="s">
        <v>198</v>
      </c>
      <c r="AO230">
        <v>313</v>
      </c>
    </row>
    <row r="231" spans="1:41" x14ac:dyDescent="0.3">
      <c r="A231">
        <v>721739</v>
      </c>
      <c r="B231" t="s">
        <v>58</v>
      </c>
      <c r="C231" t="str">
        <f>_xlfn.XLOOKUP(B231,Match!$A$2:$A$111,Match!$B$2:$B$111)</f>
        <v>Highlands, FL</v>
      </c>
      <c r="D231" t="str">
        <f>_xlfn.XLOOKUP(C231,Validation!$B$2:$B$68,Validation!$A$2:$A$68)</f>
        <v>12055</v>
      </c>
      <c r="E231" t="s">
        <v>40</v>
      </c>
      <c r="F231" s="1">
        <v>42988</v>
      </c>
      <c r="G231">
        <v>600</v>
      </c>
      <c r="H231" t="s">
        <v>190</v>
      </c>
      <c r="I231" t="s">
        <v>40</v>
      </c>
      <c r="J231" t="s">
        <v>40</v>
      </c>
      <c r="K231">
        <v>0</v>
      </c>
      <c r="L231">
        <v>0</v>
      </c>
      <c r="M231">
        <v>360000000</v>
      </c>
      <c r="N231">
        <v>70000000</v>
      </c>
      <c r="O231" t="s">
        <v>42</v>
      </c>
      <c r="P231" t="s">
        <v>180</v>
      </c>
      <c r="Q231" t="s">
        <v>40</v>
      </c>
      <c r="R231">
        <v>119520</v>
      </c>
      <c r="S231" t="s">
        <v>44</v>
      </c>
      <c r="T231">
        <v>57</v>
      </c>
      <c r="U231" t="s">
        <v>54</v>
      </c>
      <c r="V231">
        <v>0</v>
      </c>
      <c r="W231">
        <v>4</v>
      </c>
      <c r="X231" t="s">
        <v>181</v>
      </c>
      <c r="Y231" t="s">
        <v>40</v>
      </c>
      <c r="Z231" t="s">
        <v>40</v>
      </c>
      <c r="AA231" t="s">
        <v>40</v>
      </c>
      <c r="AB231" t="s">
        <v>40</v>
      </c>
      <c r="AC231" t="s">
        <v>40</v>
      </c>
      <c r="AD231" t="s">
        <v>40</v>
      </c>
      <c r="AE231" t="s">
        <v>40</v>
      </c>
      <c r="AF231" t="s">
        <v>40</v>
      </c>
      <c r="AG231" s="1">
        <v>42989</v>
      </c>
      <c r="AH231">
        <v>900</v>
      </c>
      <c r="AI231" t="s">
        <v>40</v>
      </c>
      <c r="AJ231" t="s">
        <v>40</v>
      </c>
      <c r="AK231" t="s">
        <v>40</v>
      </c>
      <c r="AL231" t="s">
        <v>40</v>
      </c>
      <c r="AM231" t="s">
        <v>221</v>
      </c>
      <c r="AN231" t="s">
        <v>198</v>
      </c>
      <c r="AO231">
        <v>314</v>
      </c>
    </row>
    <row r="232" spans="1:41" x14ac:dyDescent="0.3">
      <c r="A232">
        <v>721737</v>
      </c>
      <c r="B232" t="s">
        <v>222</v>
      </c>
      <c r="C232" t="str">
        <f>_xlfn.XLOOKUP(B232,Match!$A$2:$A$111,Match!$B$2:$B$111)</f>
        <v>Charlotte, FL</v>
      </c>
      <c r="D232" t="str">
        <f>_xlfn.XLOOKUP(C232,Validation!$B$2:$B$68,Validation!$A$2:$A$68)</f>
        <v>12015</v>
      </c>
      <c r="E232" t="s">
        <v>40</v>
      </c>
      <c r="F232" s="1">
        <v>42988</v>
      </c>
      <c r="G232">
        <v>600</v>
      </c>
      <c r="H232" t="s">
        <v>190</v>
      </c>
      <c r="I232" t="s">
        <v>40</v>
      </c>
      <c r="J232" t="s">
        <v>40</v>
      </c>
      <c r="K232">
        <v>0</v>
      </c>
      <c r="L232">
        <v>0</v>
      </c>
      <c r="M232">
        <v>17900000</v>
      </c>
      <c r="N232">
        <v>0</v>
      </c>
      <c r="O232" t="s">
        <v>42</v>
      </c>
      <c r="P232" t="s">
        <v>180</v>
      </c>
      <c r="Q232" t="s">
        <v>40</v>
      </c>
      <c r="R232">
        <v>119520</v>
      </c>
      <c r="S232" t="s">
        <v>44</v>
      </c>
      <c r="T232">
        <v>162</v>
      </c>
      <c r="U232" t="s">
        <v>54</v>
      </c>
      <c r="V232">
        <v>0</v>
      </c>
      <c r="W232">
        <v>0</v>
      </c>
      <c r="X232" t="s">
        <v>181</v>
      </c>
      <c r="Y232" t="s">
        <v>40</v>
      </c>
      <c r="Z232" t="s">
        <v>40</v>
      </c>
      <c r="AA232" t="s">
        <v>40</v>
      </c>
      <c r="AB232" t="s">
        <v>40</v>
      </c>
      <c r="AC232" t="s">
        <v>40</v>
      </c>
      <c r="AD232" t="s">
        <v>40</v>
      </c>
      <c r="AE232" t="s">
        <v>40</v>
      </c>
      <c r="AF232" t="s">
        <v>40</v>
      </c>
      <c r="AG232" s="1">
        <v>42989</v>
      </c>
      <c r="AH232">
        <v>700</v>
      </c>
      <c r="AI232" t="s">
        <v>40</v>
      </c>
      <c r="AJ232" t="s">
        <v>40</v>
      </c>
      <c r="AK232" t="s">
        <v>40</v>
      </c>
      <c r="AL232" t="s">
        <v>40</v>
      </c>
      <c r="AM232" t="s">
        <v>223</v>
      </c>
      <c r="AN232" t="s">
        <v>198</v>
      </c>
      <c r="AO232">
        <v>315</v>
      </c>
    </row>
    <row r="233" spans="1:41" x14ac:dyDescent="0.3">
      <c r="A233">
        <v>721735</v>
      </c>
      <c r="B233" t="s">
        <v>224</v>
      </c>
      <c r="C233" t="str">
        <f>_xlfn.XLOOKUP(B233,Match!$A$2:$A$111,Match!$B$2:$B$111)</f>
        <v>Lee, FL</v>
      </c>
      <c r="D233" t="str">
        <f>_xlfn.XLOOKUP(C233,Validation!$B$2:$B$68,Validation!$A$2:$A$68)</f>
        <v>12071</v>
      </c>
      <c r="E233" t="s">
        <v>40</v>
      </c>
      <c r="F233" s="1">
        <v>42988</v>
      </c>
      <c r="G233">
        <v>600</v>
      </c>
      <c r="H233" t="s">
        <v>190</v>
      </c>
      <c r="I233" t="s">
        <v>40</v>
      </c>
      <c r="J233" t="s">
        <v>40</v>
      </c>
      <c r="K233">
        <v>1</v>
      </c>
      <c r="L233">
        <v>0</v>
      </c>
      <c r="M233">
        <v>163140000</v>
      </c>
      <c r="N233">
        <v>0</v>
      </c>
      <c r="O233" t="s">
        <v>42</v>
      </c>
      <c r="P233" t="s">
        <v>180</v>
      </c>
      <c r="Q233" t="s">
        <v>40</v>
      </c>
      <c r="R233">
        <v>119520</v>
      </c>
      <c r="S233" t="s">
        <v>44</v>
      </c>
      <c r="T233">
        <v>165</v>
      </c>
      <c r="U233" t="s">
        <v>54</v>
      </c>
      <c r="V233">
        <v>0</v>
      </c>
      <c r="W233">
        <v>0</v>
      </c>
      <c r="X233" t="s">
        <v>181</v>
      </c>
      <c r="Y233" t="s">
        <v>40</v>
      </c>
      <c r="Z233" t="s">
        <v>40</v>
      </c>
      <c r="AA233" t="s">
        <v>40</v>
      </c>
      <c r="AB233" t="s">
        <v>40</v>
      </c>
      <c r="AC233" t="s">
        <v>40</v>
      </c>
      <c r="AD233" t="s">
        <v>40</v>
      </c>
      <c r="AE233" t="s">
        <v>40</v>
      </c>
      <c r="AF233" t="s">
        <v>40</v>
      </c>
      <c r="AG233" s="1">
        <v>42989</v>
      </c>
      <c r="AH233">
        <v>300</v>
      </c>
      <c r="AI233" t="s">
        <v>40</v>
      </c>
      <c r="AJ233" t="s">
        <v>40</v>
      </c>
      <c r="AK233" t="s">
        <v>40</v>
      </c>
      <c r="AL233" t="s">
        <v>40</v>
      </c>
      <c r="AM233" t="s">
        <v>225</v>
      </c>
      <c r="AN233" t="s">
        <v>198</v>
      </c>
      <c r="AO233">
        <v>316</v>
      </c>
    </row>
    <row r="234" spans="1:41" x14ac:dyDescent="0.3">
      <c r="A234">
        <v>721803</v>
      </c>
      <c r="B234" t="s">
        <v>226</v>
      </c>
      <c r="C234" t="str">
        <f>_xlfn.XLOOKUP(B234,Match!$A$2:$A$111,Match!$B$2:$B$111)</f>
        <v>Sarasota, FL</v>
      </c>
      <c r="D234" t="str">
        <f>_xlfn.XLOOKUP(C234,Validation!$B$2:$B$68,Validation!$A$2:$A$68)</f>
        <v>12115</v>
      </c>
      <c r="E234" t="s">
        <v>40</v>
      </c>
      <c r="F234" s="1">
        <v>42988</v>
      </c>
      <c r="G234">
        <v>700</v>
      </c>
      <c r="H234" t="s">
        <v>190</v>
      </c>
      <c r="I234" t="s">
        <v>40</v>
      </c>
      <c r="J234" t="s">
        <v>40</v>
      </c>
      <c r="K234">
        <v>0</v>
      </c>
      <c r="L234">
        <v>0</v>
      </c>
      <c r="M234">
        <v>8000000</v>
      </c>
      <c r="N234">
        <v>2200000</v>
      </c>
      <c r="O234" t="s">
        <v>42</v>
      </c>
      <c r="P234" t="s">
        <v>180</v>
      </c>
      <c r="Q234" t="s">
        <v>40</v>
      </c>
      <c r="R234">
        <v>119520</v>
      </c>
      <c r="S234" t="s">
        <v>44</v>
      </c>
      <c r="T234">
        <v>260</v>
      </c>
      <c r="U234" t="s">
        <v>54</v>
      </c>
      <c r="V234">
        <v>0</v>
      </c>
      <c r="W234">
        <v>0</v>
      </c>
      <c r="X234" t="s">
        <v>181</v>
      </c>
      <c r="Y234" t="s">
        <v>40</v>
      </c>
      <c r="Z234" t="s">
        <v>40</v>
      </c>
      <c r="AA234" t="s">
        <v>40</v>
      </c>
      <c r="AB234" t="s">
        <v>40</v>
      </c>
      <c r="AC234" t="s">
        <v>40</v>
      </c>
      <c r="AD234" t="s">
        <v>40</v>
      </c>
      <c r="AE234" t="s">
        <v>40</v>
      </c>
      <c r="AF234" t="s">
        <v>40</v>
      </c>
      <c r="AG234" s="1">
        <v>42989</v>
      </c>
      <c r="AH234">
        <v>900</v>
      </c>
      <c r="AI234" t="s">
        <v>40</v>
      </c>
      <c r="AJ234" t="s">
        <v>40</v>
      </c>
      <c r="AK234" t="s">
        <v>40</v>
      </c>
      <c r="AL234" t="s">
        <v>40</v>
      </c>
      <c r="AM234" t="s">
        <v>227</v>
      </c>
      <c r="AN234" t="s">
        <v>198</v>
      </c>
      <c r="AO234">
        <v>317</v>
      </c>
    </row>
    <row r="235" spans="1:41" x14ac:dyDescent="0.3">
      <c r="A235">
        <v>721769</v>
      </c>
      <c r="B235" t="s">
        <v>64</v>
      </c>
      <c r="C235" t="str">
        <f>_xlfn.XLOOKUP(B235,Match!$A$2:$A$111,Match!$B$2:$B$111)</f>
        <v>Hardee, FL</v>
      </c>
      <c r="D235" t="str">
        <f>_xlfn.XLOOKUP(C235,Validation!$B$2:$B$68,Validation!$A$2:$A$68)</f>
        <v>12049</v>
      </c>
      <c r="E235" t="s">
        <v>40</v>
      </c>
      <c r="F235" s="1">
        <v>42988</v>
      </c>
      <c r="G235">
        <v>700</v>
      </c>
      <c r="H235" t="s">
        <v>190</v>
      </c>
      <c r="I235" t="s">
        <v>40</v>
      </c>
      <c r="J235" t="s">
        <v>40</v>
      </c>
      <c r="K235">
        <v>0</v>
      </c>
      <c r="L235">
        <v>0</v>
      </c>
      <c r="M235">
        <v>1640000</v>
      </c>
      <c r="N235">
        <v>57500000</v>
      </c>
      <c r="O235" t="s">
        <v>42</v>
      </c>
      <c r="P235" t="s">
        <v>180</v>
      </c>
      <c r="Q235" t="s">
        <v>40</v>
      </c>
      <c r="R235">
        <v>119520</v>
      </c>
      <c r="S235" t="s">
        <v>44</v>
      </c>
      <c r="T235">
        <v>56</v>
      </c>
      <c r="U235" t="s">
        <v>54</v>
      </c>
      <c r="V235">
        <v>0</v>
      </c>
      <c r="W235">
        <v>0</v>
      </c>
      <c r="X235" t="s">
        <v>181</v>
      </c>
      <c r="Y235" t="s">
        <v>40</v>
      </c>
      <c r="Z235" t="s">
        <v>40</v>
      </c>
      <c r="AA235" t="s">
        <v>40</v>
      </c>
      <c r="AB235" t="s">
        <v>40</v>
      </c>
      <c r="AC235" t="s">
        <v>40</v>
      </c>
      <c r="AD235" t="s">
        <v>40</v>
      </c>
      <c r="AE235" t="s">
        <v>40</v>
      </c>
      <c r="AF235" t="s">
        <v>40</v>
      </c>
      <c r="AG235" s="1">
        <v>42989</v>
      </c>
      <c r="AH235">
        <v>900</v>
      </c>
      <c r="AI235" t="s">
        <v>40</v>
      </c>
      <c r="AJ235" t="s">
        <v>40</v>
      </c>
      <c r="AK235" t="s">
        <v>40</v>
      </c>
      <c r="AL235" t="s">
        <v>40</v>
      </c>
      <c r="AM235" t="s">
        <v>228</v>
      </c>
      <c r="AN235" t="s">
        <v>198</v>
      </c>
      <c r="AO235">
        <v>318</v>
      </c>
    </row>
    <row r="236" spans="1:41" x14ac:dyDescent="0.3">
      <c r="A236">
        <v>721791</v>
      </c>
      <c r="B236" t="s">
        <v>229</v>
      </c>
      <c r="C236" t="str">
        <f>_xlfn.XLOOKUP(B236,Match!$A$2:$A$111,Match!$B$2:$B$111)</f>
        <v>Sarasota, FL</v>
      </c>
      <c r="D236" t="str">
        <f>_xlfn.XLOOKUP(C236,Validation!$B$2:$B$68,Validation!$A$2:$A$68)</f>
        <v>12115</v>
      </c>
      <c r="E236" t="s">
        <v>40</v>
      </c>
      <c r="F236" s="1">
        <v>42988</v>
      </c>
      <c r="G236">
        <v>700</v>
      </c>
      <c r="H236" t="s">
        <v>190</v>
      </c>
      <c r="I236" t="s">
        <v>40</v>
      </c>
      <c r="J236" t="s">
        <v>40</v>
      </c>
      <c r="K236">
        <v>0</v>
      </c>
      <c r="L236">
        <v>0</v>
      </c>
      <c r="M236">
        <v>2730000</v>
      </c>
      <c r="N236">
        <v>0</v>
      </c>
      <c r="O236" t="s">
        <v>42</v>
      </c>
      <c r="P236" t="s">
        <v>180</v>
      </c>
      <c r="Q236" t="s">
        <v>40</v>
      </c>
      <c r="R236">
        <v>119520</v>
      </c>
      <c r="S236" t="s">
        <v>44</v>
      </c>
      <c r="T236">
        <v>160</v>
      </c>
      <c r="U236" t="s">
        <v>54</v>
      </c>
      <c r="V236">
        <v>0</v>
      </c>
      <c r="W236">
        <v>0</v>
      </c>
      <c r="X236" t="s">
        <v>181</v>
      </c>
      <c r="Y236" t="s">
        <v>40</v>
      </c>
      <c r="Z236" t="s">
        <v>40</v>
      </c>
      <c r="AA236" t="s">
        <v>40</v>
      </c>
      <c r="AB236" t="s">
        <v>40</v>
      </c>
      <c r="AC236" t="s">
        <v>40</v>
      </c>
      <c r="AD236" t="s">
        <v>40</v>
      </c>
      <c r="AE236" t="s">
        <v>40</v>
      </c>
      <c r="AF236" t="s">
        <v>40</v>
      </c>
      <c r="AG236" s="1">
        <v>42989</v>
      </c>
      <c r="AH236">
        <v>900</v>
      </c>
      <c r="AI236" t="s">
        <v>40</v>
      </c>
      <c r="AJ236" t="s">
        <v>40</v>
      </c>
      <c r="AK236" t="s">
        <v>40</v>
      </c>
      <c r="AL236" t="s">
        <v>40</v>
      </c>
      <c r="AM236" t="s">
        <v>230</v>
      </c>
      <c r="AN236" t="s">
        <v>198</v>
      </c>
      <c r="AO236">
        <v>319</v>
      </c>
    </row>
    <row r="237" spans="1:41" x14ac:dyDescent="0.3">
      <c r="A237">
        <v>721815</v>
      </c>
      <c r="B237" t="s">
        <v>231</v>
      </c>
      <c r="C237" t="str">
        <f>_xlfn.XLOOKUP(B237,Match!$A$2:$A$111,Match!$B$2:$B$111)</f>
        <v>Manatee, FL</v>
      </c>
      <c r="D237" t="str">
        <f>_xlfn.XLOOKUP(C237,Validation!$B$2:$B$68,Validation!$A$2:$A$68)</f>
        <v>12081</v>
      </c>
      <c r="E237" t="s">
        <v>40</v>
      </c>
      <c r="F237" s="1">
        <v>42988</v>
      </c>
      <c r="G237">
        <v>800</v>
      </c>
      <c r="H237" t="s">
        <v>190</v>
      </c>
      <c r="I237" t="s">
        <v>40</v>
      </c>
      <c r="J237" t="s">
        <v>40</v>
      </c>
      <c r="K237">
        <v>1</v>
      </c>
      <c r="L237">
        <v>0</v>
      </c>
      <c r="M237">
        <v>15300000</v>
      </c>
      <c r="N237">
        <v>0</v>
      </c>
      <c r="O237" t="s">
        <v>42</v>
      </c>
      <c r="P237" t="s">
        <v>180</v>
      </c>
      <c r="Q237" t="s">
        <v>40</v>
      </c>
      <c r="R237">
        <v>119520</v>
      </c>
      <c r="S237" t="s">
        <v>44</v>
      </c>
      <c r="T237">
        <v>155</v>
      </c>
      <c r="U237" t="s">
        <v>54</v>
      </c>
      <c r="V237">
        <v>0</v>
      </c>
      <c r="W237">
        <v>0</v>
      </c>
      <c r="X237" t="s">
        <v>181</v>
      </c>
      <c r="Y237" t="s">
        <v>40</v>
      </c>
      <c r="Z237" t="s">
        <v>40</v>
      </c>
      <c r="AA237" t="s">
        <v>40</v>
      </c>
      <c r="AB237" t="s">
        <v>40</v>
      </c>
      <c r="AC237" t="s">
        <v>40</v>
      </c>
      <c r="AD237" t="s">
        <v>40</v>
      </c>
      <c r="AE237" t="s">
        <v>40</v>
      </c>
      <c r="AF237" t="s">
        <v>40</v>
      </c>
      <c r="AG237" s="1">
        <v>42989</v>
      </c>
      <c r="AH237">
        <v>900</v>
      </c>
      <c r="AI237" t="s">
        <v>40</v>
      </c>
      <c r="AJ237" t="s">
        <v>40</v>
      </c>
      <c r="AK237" t="s">
        <v>40</v>
      </c>
      <c r="AL237" t="s">
        <v>40</v>
      </c>
      <c r="AM237" t="s">
        <v>232</v>
      </c>
      <c r="AN237" t="s">
        <v>198</v>
      </c>
      <c r="AO237">
        <v>320</v>
      </c>
    </row>
    <row r="238" spans="1:41" x14ac:dyDescent="0.3">
      <c r="A238">
        <v>721812</v>
      </c>
      <c r="B238" t="s">
        <v>233</v>
      </c>
      <c r="C238" t="str">
        <f>_xlfn.XLOOKUP(B238,Match!$A$2:$A$111,Match!$B$2:$B$111)</f>
        <v>Manatee, FL</v>
      </c>
      <c r="D238" t="str">
        <f>_xlfn.XLOOKUP(C238,Validation!$B$2:$B$68,Validation!$A$2:$A$68)</f>
        <v>12081</v>
      </c>
      <c r="E238" t="s">
        <v>40</v>
      </c>
      <c r="F238" s="1">
        <v>42988</v>
      </c>
      <c r="G238">
        <v>800</v>
      </c>
      <c r="H238" t="s">
        <v>190</v>
      </c>
      <c r="I238" t="s">
        <v>40</v>
      </c>
      <c r="J238" t="s">
        <v>40</v>
      </c>
      <c r="K238">
        <v>0</v>
      </c>
      <c r="L238">
        <v>0</v>
      </c>
      <c r="M238">
        <v>3000000</v>
      </c>
      <c r="N238">
        <v>23500000</v>
      </c>
      <c r="O238" t="s">
        <v>42</v>
      </c>
      <c r="P238" t="s">
        <v>180</v>
      </c>
      <c r="Q238" t="s">
        <v>40</v>
      </c>
      <c r="R238">
        <v>119520</v>
      </c>
      <c r="S238" t="s">
        <v>44</v>
      </c>
      <c r="T238">
        <v>255</v>
      </c>
      <c r="U238" t="s">
        <v>54</v>
      </c>
      <c r="V238">
        <v>0</v>
      </c>
      <c r="W238">
        <v>0</v>
      </c>
      <c r="X238" t="s">
        <v>181</v>
      </c>
      <c r="Y238" t="s">
        <v>40</v>
      </c>
      <c r="Z238" t="s">
        <v>40</v>
      </c>
      <c r="AA238" t="s">
        <v>40</v>
      </c>
      <c r="AB238" t="s">
        <v>40</v>
      </c>
      <c r="AC238" t="s">
        <v>40</v>
      </c>
      <c r="AD238" t="s">
        <v>40</v>
      </c>
      <c r="AE238" t="s">
        <v>40</v>
      </c>
      <c r="AF238" t="s">
        <v>40</v>
      </c>
      <c r="AG238" s="1">
        <v>42989</v>
      </c>
      <c r="AH238">
        <v>900</v>
      </c>
      <c r="AI238" t="s">
        <v>40</v>
      </c>
      <c r="AJ238" t="s">
        <v>40</v>
      </c>
      <c r="AK238" t="s">
        <v>40</v>
      </c>
      <c r="AL238" t="s">
        <v>40</v>
      </c>
      <c r="AM238" t="s">
        <v>234</v>
      </c>
      <c r="AN238" t="s">
        <v>198</v>
      </c>
      <c r="AO238">
        <v>321</v>
      </c>
    </row>
    <row r="239" spans="1:41" x14ac:dyDescent="0.3">
      <c r="A239">
        <v>721819</v>
      </c>
      <c r="B239" t="s">
        <v>60</v>
      </c>
      <c r="C239" t="str">
        <f>_xlfn.XLOOKUP(B239,Match!$A$2:$A$111,Match!$B$2:$B$111)</f>
        <v>Polk, FL</v>
      </c>
      <c r="D239" t="str">
        <f>_xlfn.XLOOKUP(C239,Validation!$B$2:$B$68,Validation!$A$2:$A$68)</f>
        <v>12105</v>
      </c>
      <c r="E239" t="s">
        <v>40</v>
      </c>
      <c r="F239" s="1">
        <v>42988</v>
      </c>
      <c r="G239">
        <v>800</v>
      </c>
      <c r="H239" t="s">
        <v>190</v>
      </c>
      <c r="I239" t="s">
        <v>40</v>
      </c>
      <c r="J239" t="s">
        <v>40</v>
      </c>
      <c r="K239">
        <v>0</v>
      </c>
      <c r="L239">
        <v>0</v>
      </c>
      <c r="M239">
        <v>68980000</v>
      </c>
      <c r="N239">
        <v>93500000</v>
      </c>
      <c r="O239" t="s">
        <v>42</v>
      </c>
      <c r="P239" t="s">
        <v>180</v>
      </c>
      <c r="Q239" t="s">
        <v>40</v>
      </c>
      <c r="R239">
        <v>119520</v>
      </c>
      <c r="S239" t="s">
        <v>44</v>
      </c>
      <c r="T239">
        <v>52</v>
      </c>
      <c r="U239" t="s">
        <v>54</v>
      </c>
      <c r="V239">
        <v>0</v>
      </c>
      <c r="W239">
        <v>3</v>
      </c>
      <c r="X239" t="s">
        <v>181</v>
      </c>
      <c r="Y239" t="s">
        <v>40</v>
      </c>
      <c r="Z239" t="s">
        <v>40</v>
      </c>
      <c r="AA239" t="s">
        <v>40</v>
      </c>
      <c r="AB239" t="s">
        <v>40</v>
      </c>
      <c r="AC239" t="s">
        <v>40</v>
      </c>
      <c r="AD239" t="s">
        <v>40</v>
      </c>
      <c r="AE239" t="s">
        <v>40</v>
      </c>
      <c r="AF239" t="s">
        <v>40</v>
      </c>
      <c r="AG239" s="1">
        <v>42989</v>
      </c>
      <c r="AH239">
        <v>900</v>
      </c>
      <c r="AI239" t="s">
        <v>40</v>
      </c>
      <c r="AJ239" t="s">
        <v>40</v>
      </c>
      <c r="AK239" t="s">
        <v>40</v>
      </c>
      <c r="AL239" t="s">
        <v>40</v>
      </c>
      <c r="AM239" t="s">
        <v>235</v>
      </c>
      <c r="AN239" t="s">
        <v>198</v>
      </c>
      <c r="AO239">
        <v>322</v>
      </c>
    </row>
    <row r="240" spans="1:41" x14ac:dyDescent="0.3">
      <c r="A240">
        <v>721999</v>
      </c>
      <c r="B240" t="s">
        <v>236</v>
      </c>
      <c r="C240" t="str">
        <f>_xlfn.XLOOKUP(B240,Match!$A$2:$A$111,Match!$B$2:$B$111)</f>
        <v>Hillsborough, FL</v>
      </c>
      <c r="D240" t="str">
        <f>_xlfn.XLOOKUP(C240,Validation!$B$2:$B$68,Validation!$A$2:$A$68)</f>
        <v>12057</v>
      </c>
      <c r="E240" t="s">
        <v>40</v>
      </c>
      <c r="F240" s="1">
        <v>42988</v>
      </c>
      <c r="G240">
        <v>1000</v>
      </c>
      <c r="H240" t="s">
        <v>190</v>
      </c>
      <c r="I240" t="s">
        <v>40</v>
      </c>
      <c r="J240" t="s">
        <v>40</v>
      </c>
      <c r="K240">
        <v>0</v>
      </c>
      <c r="L240">
        <v>0</v>
      </c>
      <c r="M240">
        <v>6950000</v>
      </c>
      <c r="N240">
        <v>28500000</v>
      </c>
      <c r="O240" t="s">
        <v>42</v>
      </c>
      <c r="P240" t="s">
        <v>180</v>
      </c>
      <c r="Q240" t="s">
        <v>40</v>
      </c>
      <c r="R240">
        <v>119520</v>
      </c>
      <c r="S240" t="s">
        <v>44</v>
      </c>
      <c r="T240">
        <v>251</v>
      </c>
      <c r="U240" t="s">
        <v>54</v>
      </c>
      <c r="V240">
        <v>0</v>
      </c>
      <c r="W240">
        <v>0</v>
      </c>
      <c r="X240" t="s">
        <v>181</v>
      </c>
      <c r="Y240" t="s">
        <v>40</v>
      </c>
      <c r="Z240" t="s">
        <v>40</v>
      </c>
      <c r="AA240" t="s">
        <v>40</v>
      </c>
      <c r="AB240" t="s">
        <v>40</v>
      </c>
      <c r="AC240" t="s">
        <v>40</v>
      </c>
      <c r="AD240" t="s">
        <v>40</v>
      </c>
      <c r="AE240" t="s">
        <v>40</v>
      </c>
      <c r="AF240" t="s">
        <v>40</v>
      </c>
      <c r="AG240" s="1">
        <v>42989</v>
      </c>
      <c r="AH240">
        <v>900</v>
      </c>
      <c r="AI240" t="s">
        <v>40</v>
      </c>
      <c r="AJ240" t="s">
        <v>40</v>
      </c>
      <c r="AK240" t="s">
        <v>40</v>
      </c>
      <c r="AL240" t="s">
        <v>40</v>
      </c>
      <c r="AM240" t="s">
        <v>237</v>
      </c>
      <c r="AN240" t="s">
        <v>198</v>
      </c>
      <c r="AO240">
        <v>323</v>
      </c>
    </row>
    <row r="241" spans="1:41" x14ac:dyDescent="0.3">
      <c r="A241">
        <v>721998</v>
      </c>
      <c r="B241" t="s">
        <v>238</v>
      </c>
      <c r="C241" t="str">
        <f>_xlfn.XLOOKUP(B241,Match!$A$2:$A$111,Match!$B$2:$B$111)</f>
        <v>Hillsborough, FL</v>
      </c>
      <c r="D241" t="str">
        <f>_xlfn.XLOOKUP(C241,Validation!$B$2:$B$68,Validation!$A$2:$A$68)</f>
        <v>12057</v>
      </c>
      <c r="E241" t="s">
        <v>40</v>
      </c>
      <c r="F241" s="1">
        <v>42988</v>
      </c>
      <c r="G241">
        <v>1000</v>
      </c>
      <c r="H241" t="s">
        <v>190</v>
      </c>
      <c r="I241" t="s">
        <v>40</v>
      </c>
      <c r="J241" t="s">
        <v>40</v>
      </c>
      <c r="K241">
        <v>0</v>
      </c>
      <c r="L241">
        <v>0</v>
      </c>
      <c r="M241">
        <v>7000000</v>
      </c>
      <c r="N241">
        <v>0</v>
      </c>
      <c r="O241" t="s">
        <v>42</v>
      </c>
      <c r="P241" t="s">
        <v>180</v>
      </c>
      <c r="Q241" t="s">
        <v>40</v>
      </c>
      <c r="R241">
        <v>119520</v>
      </c>
      <c r="S241" t="s">
        <v>44</v>
      </c>
      <c r="T241">
        <v>151</v>
      </c>
      <c r="U241" t="s">
        <v>54</v>
      </c>
      <c r="V241">
        <v>0</v>
      </c>
      <c r="W241">
        <v>3</v>
      </c>
      <c r="X241" t="s">
        <v>181</v>
      </c>
      <c r="Y241" t="s">
        <v>40</v>
      </c>
      <c r="Z241" t="s">
        <v>40</v>
      </c>
      <c r="AA241" t="s">
        <v>40</v>
      </c>
      <c r="AB241" t="s">
        <v>40</v>
      </c>
      <c r="AC241" t="s">
        <v>40</v>
      </c>
      <c r="AD241" t="s">
        <v>40</v>
      </c>
      <c r="AE241" t="s">
        <v>40</v>
      </c>
      <c r="AF241" t="s">
        <v>40</v>
      </c>
      <c r="AG241" s="1">
        <v>42989</v>
      </c>
      <c r="AH241">
        <v>900</v>
      </c>
      <c r="AI241" t="s">
        <v>40</v>
      </c>
      <c r="AJ241" t="s">
        <v>40</v>
      </c>
      <c r="AK241" t="s">
        <v>40</v>
      </c>
      <c r="AL241" t="s">
        <v>40</v>
      </c>
      <c r="AM241" t="s">
        <v>239</v>
      </c>
      <c r="AN241" t="s">
        <v>198</v>
      </c>
      <c r="AO241">
        <v>324</v>
      </c>
    </row>
    <row r="242" spans="1:41" x14ac:dyDescent="0.3">
      <c r="A242">
        <v>722000</v>
      </c>
      <c r="B242" t="s">
        <v>100</v>
      </c>
      <c r="C242" t="str">
        <f>_xlfn.XLOOKUP(B242,Match!$A$2:$A$111,Match!$B$2:$B$111)</f>
        <v>Pinellas, FL</v>
      </c>
      <c r="D242" t="str">
        <f>_xlfn.XLOOKUP(C242,Validation!$B$2:$B$68,Validation!$A$2:$A$68)</f>
        <v>12103</v>
      </c>
      <c r="E242" t="s">
        <v>40</v>
      </c>
      <c r="F242" s="1">
        <v>42988</v>
      </c>
      <c r="G242">
        <v>1100</v>
      </c>
      <c r="H242" t="s">
        <v>190</v>
      </c>
      <c r="I242" t="s">
        <v>40</v>
      </c>
      <c r="J242" t="s">
        <v>40</v>
      </c>
      <c r="K242">
        <v>0</v>
      </c>
      <c r="L242">
        <v>0</v>
      </c>
      <c r="M242">
        <v>594450000</v>
      </c>
      <c r="N242">
        <v>0</v>
      </c>
      <c r="O242" t="s">
        <v>42</v>
      </c>
      <c r="P242" t="s">
        <v>180</v>
      </c>
      <c r="Q242" t="s">
        <v>40</v>
      </c>
      <c r="R242">
        <v>119520</v>
      </c>
      <c r="S242" t="s">
        <v>44</v>
      </c>
      <c r="T242">
        <v>50</v>
      </c>
      <c r="U242" t="s">
        <v>54</v>
      </c>
      <c r="V242">
        <v>0</v>
      </c>
      <c r="W242">
        <v>2</v>
      </c>
      <c r="X242" t="s">
        <v>181</v>
      </c>
      <c r="Y242" t="s">
        <v>40</v>
      </c>
      <c r="Z242" t="s">
        <v>40</v>
      </c>
      <c r="AA242" t="s">
        <v>40</v>
      </c>
      <c r="AB242" t="s">
        <v>40</v>
      </c>
      <c r="AC242" t="s">
        <v>40</v>
      </c>
      <c r="AD242" t="s">
        <v>40</v>
      </c>
      <c r="AE242" t="s">
        <v>40</v>
      </c>
      <c r="AF242" t="s">
        <v>40</v>
      </c>
      <c r="AG242" s="1">
        <v>42989</v>
      </c>
      <c r="AH242">
        <v>900</v>
      </c>
      <c r="AI242" t="s">
        <v>40</v>
      </c>
      <c r="AJ242" t="s">
        <v>40</v>
      </c>
      <c r="AK242" t="s">
        <v>40</v>
      </c>
      <c r="AL242" t="s">
        <v>40</v>
      </c>
      <c r="AM242" t="s">
        <v>240</v>
      </c>
      <c r="AN242" t="s">
        <v>198</v>
      </c>
      <c r="AO242">
        <v>325</v>
      </c>
    </row>
    <row r="243" spans="1:41" x14ac:dyDescent="0.3">
      <c r="A243">
        <v>790373</v>
      </c>
      <c r="B243" t="s">
        <v>241</v>
      </c>
      <c r="C243" t="str">
        <f>_xlfn.XLOOKUP(B243,Match!$A$2:$A$111,Match!$B$2:$B$111)</f>
        <v>Bay, FL</v>
      </c>
      <c r="D243" t="str">
        <f>_xlfn.XLOOKUP(C243,Validation!$B$2:$B$68,Validation!$A$2:$A$68)</f>
        <v>12005</v>
      </c>
      <c r="E243" t="s">
        <v>40</v>
      </c>
      <c r="F243" s="1">
        <v>43383</v>
      </c>
      <c r="G243">
        <v>500</v>
      </c>
      <c r="H243" t="s">
        <v>190</v>
      </c>
      <c r="I243" t="s">
        <v>40</v>
      </c>
      <c r="J243" t="s">
        <v>40</v>
      </c>
      <c r="K243">
        <v>0</v>
      </c>
      <c r="L243">
        <v>0</v>
      </c>
      <c r="M243">
        <v>200000000</v>
      </c>
      <c r="N243">
        <v>150000000</v>
      </c>
      <c r="O243" t="s">
        <v>42</v>
      </c>
      <c r="P243" t="s">
        <v>180</v>
      </c>
      <c r="Q243" t="s">
        <v>40</v>
      </c>
      <c r="R243">
        <v>130185</v>
      </c>
      <c r="S243" t="s">
        <v>44</v>
      </c>
      <c r="T243">
        <v>12</v>
      </c>
      <c r="U243" t="s">
        <v>106</v>
      </c>
      <c r="V243">
        <v>0</v>
      </c>
      <c r="W243">
        <v>0</v>
      </c>
      <c r="X243" t="s">
        <v>193</v>
      </c>
      <c r="Y243" t="s">
        <v>40</v>
      </c>
      <c r="Z243" t="s">
        <v>40</v>
      </c>
      <c r="AA243" t="s">
        <v>40</v>
      </c>
      <c r="AB243" t="s">
        <v>40</v>
      </c>
      <c r="AC243" t="s">
        <v>40</v>
      </c>
      <c r="AD243" t="s">
        <v>40</v>
      </c>
      <c r="AE243" t="s">
        <v>40</v>
      </c>
      <c r="AF243" t="s">
        <v>40</v>
      </c>
      <c r="AG243" s="1">
        <v>43383</v>
      </c>
      <c r="AH243">
        <v>2200</v>
      </c>
      <c r="AI243" t="s">
        <v>40</v>
      </c>
      <c r="AJ243" t="s">
        <v>40</v>
      </c>
      <c r="AK243" t="s">
        <v>40</v>
      </c>
      <c r="AL243" t="s">
        <v>40</v>
      </c>
      <c r="AN243" t="s">
        <v>242</v>
      </c>
      <c r="AO243">
        <v>326</v>
      </c>
    </row>
    <row r="244" spans="1:41" x14ac:dyDescent="0.3">
      <c r="A244">
        <v>790375</v>
      </c>
      <c r="B244" t="s">
        <v>243</v>
      </c>
      <c r="C244" t="str">
        <f>_xlfn.XLOOKUP(B244,Match!$A$2:$A$111,Match!$B$2:$B$111)</f>
        <v>Gulf, FL</v>
      </c>
      <c r="D244" t="str">
        <f>_xlfn.XLOOKUP(C244,Validation!$B$2:$B$68,Validation!$A$2:$A$68)</f>
        <v>12045</v>
      </c>
      <c r="E244" t="s">
        <v>40</v>
      </c>
      <c r="F244" s="1">
        <v>43383</v>
      </c>
      <c r="G244">
        <v>500</v>
      </c>
      <c r="H244" t="s">
        <v>190</v>
      </c>
      <c r="I244" t="s">
        <v>40</v>
      </c>
      <c r="J244" t="s">
        <v>40</v>
      </c>
      <c r="K244">
        <v>0</v>
      </c>
      <c r="L244">
        <v>0</v>
      </c>
      <c r="M244">
        <v>100000000</v>
      </c>
      <c r="N244">
        <v>150000000</v>
      </c>
      <c r="O244" t="s">
        <v>42</v>
      </c>
      <c r="P244" t="s">
        <v>180</v>
      </c>
      <c r="Q244" t="s">
        <v>40</v>
      </c>
      <c r="R244">
        <v>130185</v>
      </c>
      <c r="S244" t="s">
        <v>44</v>
      </c>
      <c r="T244">
        <v>14</v>
      </c>
      <c r="U244" t="s">
        <v>106</v>
      </c>
      <c r="V244">
        <v>0</v>
      </c>
      <c r="W244">
        <v>0</v>
      </c>
      <c r="X244" t="s">
        <v>193</v>
      </c>
      <c r="Y244" t="s">
        <v>40</v>
      </c>
      <c r="Z244" t="s">
        <v>40</v>
      </c>
      <c r="AA244" t="s">
        <v>40</v>
      </c>
      <c r="AB244" t="s">
        <v>40</v>
      </c>
      <c r="AC244" t="s">
        <v>40</v>
      </c>
      <c r="AD244" t="s">
        <v>40</v>
      </c>
      <c r="AE244" t="s">
        <v>40</v>
      </c>
      <c r="AF244" t="s">
        <v>40</v>
      </c>
      <c r="AG244" s="1">
        <v>43383</v>
      </c>
      <c r="AH244">
        <v>2200</v>
      </c>
      <c r="AI244" t="s">
        <v>40</v>
      </c>
      <c r="AJ244" t="s">
        <v>40</v>
      </c>
      <c r="AK244" t="s">
        <v>40</v>
      </c>
      <c r="AL244" t="s">
        <v>40</v>
      </c>
      <c r="AN244" t="s">
        <v>242</v>
      </c>
      <c r="AO244">
        <v>327</v>
      </c>
    </row>
    <row r="245" spans="1:41" x14ac:dyDescent="0.3">
      <c r="A245">
        <v>790376</v>
      </c>
      <c r="B245" t="s">
        <v>183</v>
      </c>
      <c r="C245" t="str">
        <f>_xlfn.XLOOKUP(B245,Match!$A$2:$A$111,Match!$B$2:$B$111)</f>
        <v>Franklin, FL</v>
      </c>
      <c r="D245" t="str">
        <f>_xlfn.XLOOKUP(C245,Validation!$B$2:$B$68,Validation!$A$2:$A$68)</f>
        <v>12037</v>
      </c>
      <c r="E245" t="s">
        <v>40</v>
      </c>
      <c r="F245" s="1">
        <v>43383</v>
      </c>
      <c r="G245">
        <v>500</v>
      </c>
      <c r="H245" t="s">
        <v>190</v>
      </c>
      <c r="I245" t="s">
        <v>40</v>
      </c>
      <c r="J245" t="s">
        <v>40</v>
      </c>
      <c r="K245">
        <v>0</v>
      </c>
      <c r="L245">
        <v>0</v>
      </c>
      <c r="M245">
        <v>0</v>
      </c>
      <c r="N245">
        <v>150000000</v>
      </c>
      <c r="O245" t="s">
        <v>42</v>
      </c>
      <c r="P245" t="s">
        <v>180</v>
      </c>
      <c r="Q245" t="s">
        <v>40</v>
      </c>
      <c r="R245">
        <v>130185</v>
      </c>
      <c r="S245" t="s">
        <v>44</v>
      </c>
      <c r="T245">
        <v>15</v>
      </c>
      <c r="U245" t="s">
        <v>106</v>
      </c>
      <c r="V245">
        <v>0</v>
      </c>
      <c r="W245">
        <v>0</v>
      </c>
      <c r="X245" t="s">
        <v>193</v>
      </c>
      <c r="Y245" t="s">
        <v>40</v>
      </c>
      <c r="Z245" t="s">
        <v>40</v>
      </c>
      <c r="AA245" t="s">
        <v>40</v>
      </c>
      <c r="AB245" t="s">
        <v>40</v>
      </c>
      <c r="AC245" t="s">
        <v>40</v>
      </c>
      <c r="AD245" t="s">
        <v>40</v>
      </c>
      <c r="AE245" t="s">
        <v>40</v>
      </c>
      <c r="AF245" t="s">
        <v>40</v>
      </c>
      <c r="AG245" s="1">
        <v>43383</v>
      </c>
      <c r="AH245">
        <v>2200</v>
      </c>
      <c r="AI245" t="s">
        <v>40</v>
      </c>
      <c r="AJ245" t="s">
        <v>40</v>
      </c>
      <c r="AK245" t="s">
        <v>40</v>
      </c>
      <c r="AL245" t="s">
        <v>40</v>
      </c>
      <c r="AN245" t="s">
        <v>242</v>
      </c>
      <c r="AO245">
        <v>328</v>
      </c>
    </row>
    <row r="246" spans="1:41" x14ac:dyDescent="0.3">
      <c r="A246">
        <v>790377</v>
      </c>
      <c r="B246" t="s">
        <v>179</v>
      </c>
      <c r="C246" t="str">
        <f>_xlfn.XLOOKUP(B246,Match!$A$2:$A$111,Match!$B$2:$B$111)</f>
        <v>Franklin, FL</v>
      </c>
      <c r="D246" t="str">
        <f>_xlfn.XLOOKUP(C246,Validation!$B$2:$B$68,Validation!$A$2:$A$68)</f>
        <v>12037</v>
      </c>
      <c r="E246" t="s">
        <v>40</v>
      </c>
      <c r="F246" s="1">
        <v>43383</v>
      </c>
      <c r="G246">
        <v>500</v>
      </c>
      <c r="H246" t="s">
        <v>190</v>
      </c>
      <c r="I246" t="s">
        <v>40</v>
      </c>
      <c r="J246" t="s">
        <v>40</v>
      </c>
      <c r="K246">
        <v>0</v>
      </c>
      <c r="L246">
        <v>0</v>
      </c>
      <c r="M246">
        <v>150000000</v>
      </c>
      <c r="N246">
        <v>0</v>
      </c>
      <c r="O246" t="s">
        <v>42</v>
      </c>
      <c r="P246" t="s">
        <v>180</v>
      </c>
      <c r="Q246" t="s">
        <v>40</v>
      </c>
      <c r="R246">
        <v>130185</v>
      </c>
      <c r="S246" t="s">
        <v>44</v>
      </c>
      <c r="T246">
        <v>115</v>
      </c>
      <c r="U246" t="s">
        <v>106</v>
      </c>
      <c r="V246">
        <v>0</v>
      </c>
      <c r="W246">
        <v>1</v>
      </c>
      <c r="X246" t="s">
        <v>193</v>
      </c>
      <c r="Y246" t="s">
        <v>40</v>
      </c>
      <c r="Z246" t="s">
        <v>40</v>
      </c>
      <c r="AA246" t="s">
        <v>40</v>
      </c>
      <c r="AB246" t="s">
        <v>40</v>
      </c>
      <c r="AC246" t="s">
        <v>40</v>
      </c>
      <c r="AD246" t="s">
        <v>40</v>
      </c>
      <c r="AE246" t="s">
        <v>40</v>
      </c>
      <c r="AF246" t="s">
        <v>40</v>
      </c>
      <c r="AG246" s="1">
        <v>43383</v>
      </c>
      <c r="AH246">
        <v>2200</v>
      </c>
      <c r="AI246" t="s">
        <v>40</v>
      </c>
      <c r="AJ246" t="s">
        <v>40</v>
      </c>
      <c r="AK246" t="s">
        <v>40</v>
      </c>
      <c r="AL246" t="s">
        <v>40</v>
      </c>
      <c r="AN246" t="s">
        <v>242</v>
      </c>
      <c r="AO246">
        <v>329</v>
      </c>
    </row>
    <row r="247" spans="1:41" x14ac:dyDescent="0.3">
      <c r="A247">
        <v>790379</v>
      </c>
      <c r="B247" t="s">
        <v>184</v>
      </c>
      <c r="C247" t="str">
        <f>_xlfn.XLOOKUP(B247,Match!$A$2:$A$111,Match!$B$2:$B$111)</f>
        <v>Wakulla, FL</v>
      </c>
      <c r="D247" t="str">
        <f>_xlfn.XLOOKUP(C247,Validation!$B$2:$B$68,Validation!$A$2:$A$68)</f>
        <v>12129</v>
      </c>
      <c r="E247" t="s">
        <v>40</v>
      </c>
      <c r="F247" s="1">
        <v>43383</v>
      </c>
      <c r="G247">
        <v>500</v>
      </c>
      <c r="H247" t="s">
        <v>190</v>
      </c>
      <c r="I247" t="s">
        <v>40</v>
      </c>
      <c r="J247" t="s">
        <v>40</v>
      </c>
      <c r="K247">
        <v>0</v>
      </c>
      <c r="L247">
        <v>0</v>
      </c>
      <c r="M247">
        <v>100000000</v>
      </c>
      <c r="N247">
        <v>0</v>
      </c>
      <c r="O247" t="s">
        <v>42</v>
      </c>
      <c r="P247" t="s">
        <v>180</v>
      </c>
      <c r="Q247" t="s">
        <v>40</v>
      </c>
      <c r="R247">
        <v>130185</v>
      </c>
      <c r="S247" t="s">
        <v>44</v>
      </c>
      <c r="T247">
        <v>127</v>
      </c>
      <c r="U247" t="s">
        <v>106</v>
      </c>
      <c r="V247">
        <v>0</v>
      </c>
      <c r="W247">
        <v>1</v>
      </c>
      <c r="X247" t="s">
        <v>193</v>
      </c>
      <c r="Y247" t="s">
        <v>40</v>
      </c>
      <c r="Z247" t="s">
        <v>40</v>
      </c>
      <c r="AA247" t="s">
        <v>40</v>
      </c>
      <c r="AB247" t="s">
        <v>40</v>
      </c>
      <c r="AC247" t="s">
        <v>40</v>
      </c>
      <c r="AD247" t="s">
        <v>40</v>
      </c>
      <c r="AE247" t="s">
        <v>40</v>
      </c>
      <c r="AF247" t="s">
        <v>40</v>
      </c>
      <c r="AG247" s="1">
        <v>43383</v>
      </c>
      <c r="AH247">
        <v>2200</v>
      </c>
      <c r="AI247" t="s">
        <v>40</v>
      </c>
      <c r="AJ247" t="s">
        <v>40</v>
      </c>
      <c r="AK247" t="s">
        <v>40</v>
      </c>
      <c r="AL247" t="s">
        <v>40</v>
      </c>
      <c r="AN247" t="s">
        <v>242</v>
      </c>
      <c r="AO247">
        <v>330</v>
      </c>
    </row>
    <row r="248" spans="1:41" x14ac:dyDescent="0.3">
      <c r="A248">
        <v>789475</v>
      </c>
      <c r="B248" t="s">
        <v>244</v>
      </c>
      <c r="C248" t="str">
        <f>_xlfn.XLOOKUP(B248,Match!$A$2:$A$111,Match!$B$2:$B$111)</f>
        <v>Bay, FL</v>
      </c>
      <c r="D248" t="str">
        <f>_xlfn.XLOOKUP(C248,Validation!$B$2:$B$68,Validation!$A$2:$A$68)</f>
        <v>12005</v>
      </c>
      <c r="E248" t="s">
        <v>40</v>
      </c>
      <c r="F248" s="1">
        <v>43383</v>
      </c>
      <c r="G248">
        <v>500</v>
      </c>
      <c r="H248" t="s">
        <v>190</v>
      </c>
      <c r="I248" t="s">
        <v>40</v>
      </c>
      <c r="J248" t="s">
        <v>40</v>
      </c>
      <c r="K248">
        <v>0</v>
      </c>
      <c r="L248">
        <v>0</v>
      </c>
      <c r="M248">
        <v>6000000000</v>
      </c>
      <c r="N248">
        <v>0</v>
      </c>
      <c r="O248" t="s">
        <v>42</v>
      </c>
      <c r="P248" t="s">
        <v>180</v>
      </c>
      <c r="Q248" t="s">
        <v>40</v>
      </c>
      <c r="R248">
        <v>130185</v>
      </c>
      <c r="S248" t="s">
        <v>44</v>
      </c>
      <c r="T248">
        <v>112</v>
      </c>
      <c r="U248" t="s">
        <v>106</v>
      </c>
      <c r="V248">
        <v>0</v>
      </c>
      <c r="W248">
        <v>21</v>
      </c>
      <c r="X248" t="s">
        <v>193</v>
      </c>
      <c r="Y248" t="s">
        <v>40</v>
      </c>
      <c r="Z248" t="s">
        <v>40</v>
      </c>
      <c r="AA248" t="s">
        <v>40</v>
      </c>
      <c r="AB248" t="s">
        <v>40</v>
      </c>
      <c r="AC248" t="s">
        <v>40</v>
      </c>
      <c r="AD248" t="s">
        <v>40</v>
      </c>
      <c r="AE248" t="s">
        <v>40</v>
      </c>
      <c r="AF248" t="s">
        <v>40</v>
      </c>
      <c r="AG248" s="1">
        <v>43383</v>
      </c>
      <c r="AH248">
        <v>2200</v>
      </c>
      <c r="AI248" t="s">
        <v>40</v>
      </c>
      <c r="AJ248" t="s">
        <v>40</v>
      </c>
      <c r="AK248" t="s">
        <v>40</v>
      </c>
      <c r="AL248" t="s">
        <v>40</v>
      </c>
      <c r="AN248" t="s">
        <v>242</v>
      </c>
      <c r="AO248">
        <v>331</v>
      </c>
    </row>
    <row r="249" spans="1:41" x14ac:dyDescent="0.3">
      <c r="A249">
        <v>790385</v>
      </c>
      <c r="B249" t="s">
        <v>150</v>
      </c>
      <c r="C249" t="str">
        <f>_xlfn.XLOOKUP(B249,Match!$A$2:$A$111,Match!$B$2:$B$111)</f>
        <v>Washington, FL</v>
      </c>
      <c r="D249">
        <f>_xlfn.XLOOKUP(C249,Validation!$B$2:$B$68,Validation!$A$2:$A$68)</f>
        <v>12133</v>
      </c>
      <c r="E249" t="s">
        <v>40</v>
      </c>
      <c r="F249" s="1">
        <v>43383</v>
      </c>
      <c r="G249">
        <v>500</v>
      </c>
      <c r="H249" t="s">
        <v>190</v>
      </c>
      <c r="I249" t="s">
        <v>40</v>
      </c>
      <c r="J249" t="s">
        <v>40</v>
      </c>
      <c r="K249">
        <v>0</v>
      </c>
      <c r="L249">
        <v>0</v>
      </c>
      <c r="M249">
        <v>250000000</v>
      </c>
      <c r="N249">
        <v>150000000</v>
      </c>
      <c r="O249" t="s">
        <v>42</v>
      </c>
      <c r="P249" t="s">
        <v>180</v>
      </c>
      <c r="Q249" t="s">
        <v>40</v>
      </c>
      <c r="R249">
        <v>130185</v>
      </c>
      <c r="S249" t="s">
        <v>44</v>
      </c>
      <c r="T249">
        <v>10</v>
      </c>
      <c r="U249" t="s">
        <v>106</v>
      </c>
      <c r="V249">
        <v>0</v>
      </c>
      <c r="W249">
        <v>4</v>
      </c>
      <c r="X249" t="s">
        <v>193</v>
      </c>
      <c r="Y249" t="s">
        <v>40</v>
      </c>
      <c r="Z249" t="s">
        <v>40</v>
      </c>
      <c r="AA249" t="s">
        <v>40</v>
      </c>
      <c r="AB249" t="s">
        <v>40</v>
      </c>
      <c r="AC249" t="s">
        <v>40</v>
      </c>
      <c r="AD249" t="s">
        <v>40</v>
      </c>
      <c r="AE249" t="s">
        <v>40</v>
      </c>
      <c r="AF249" t="s">
        <v>40</v>
      </c>
      <c r="AG249" s="1">
        <v>43383</v>
      </c>
      <c r="AH249">
        <v>2200</v>
      </c>
      <c r="AI249" t="s">
        <v>40</v>
      </c>
      <c r="AJ249" t="s">
        <v>40</v>
      </c>
      <c r="AK249" t="s">
        <v>40</v>
      </c>
      <c r="AL249" t="s">
        <v>40</v>
      </c>
      <c r="AN249" t="s">
        <v>242</v>
      </c>
      <c r="AO249">
        <v>332</v>
      </c>
    </row>
    <row r="250" spans="1:41" x14ac:dyDescent="0.3">
      <c r="A250">
        <v>790383</v>
      </c>
      <c r="B250" t="s">
        <v>152</v>
      </c>
      <c r="C250" t="str">
        <f>_xlfn.XLOOKUP(B250,Match!$A$2:$A$111,Match!$B$2:$B$111)</f>
        <v>Calhoun, FL</v>
      </c>
      <c r="D250" t="str">
        <f>_xlfn.XLOOKUP(C250,Validation!$B$2:$B$68,Validation!$A$2:$A$68)</f>
        <v>12013</v>
      </c>
      <c r="E250" t="s">
        <v>40</v>
      </c>
      <c r="F250" s="1">
        <v>43383</v>
      </c>
      <c r="G250">
        <v>500</v>
      </c>
      <c r="H250" t="s">
        <v>190</v>
      </c>
      <c r="I250" t="s">
        <v>40</v>
      </c>
      <c r="J250" t="s">
        <v>40</v>
      </c>
      <c r="K250">
        <v>0</v>
      </c>
      <c r="L250">
        <v>0</v>
      </c>
      <c r="M250">
        <v>500000000</v>
      </c>
      <c r="N250">
        <v>250000000</v>
      </c>
      <c r="O250" t="s">
        <v>42</v>
      </c>
      <c r="P250" t="s">
        <v>180</v>
      </c>
      <c r="Q250" t="s">
        <v>40</v>
      </c>
      <c r="R250">
        <v>130185</v>
      </c>
      <c r="S250" t="s">
        <v>44</v>
      </c>
      <c r="T250">
        <v>13</v>
      </c>
      <c r="U250" t="s">
        <v>106</v>
      </c>
      <c r="V250">
        <v>0</v>
      </c>
      <c r="W250">
        <v>1</v>
      </c>
      <c r="X250" t="s">
        <v>193</v>
      </c>
      <c r="Y250" t="s">
        <v>40</v>
      </c>
      <c r="Z250" t="s">
        <v>40</v>
      </c>
      <c r="AA250" t="s">
        <v>40</v>
      </c>
      <c r="AB250" t="s">
        <v>40</v>
      </c>
      <c r="AC250" t="s">
        <v>40</v>
      </c>
      <c r="AD250" t="s">
        <v>40</v>
      </c>
      <c r="AE250" t="s">
        <v>40</v>
      </c>
      <c r="AF250" t="s">
        <v>40</v>
      </c>
      <c r="AG250" s="1">
        <v>43383</v>
      </c>
      <c r="AH250">
        <v>2200</v>
      </c>
      <c r="AI250" t="s">
        <v>40</v>
      </c>
      <c r="AJ250" t="s">
        <v>40</v>
      </c>
      <c r="AK250" t="s">
        <v>40</v>
      </c>
      <c r="AL250" t="s">
        <v>40</v>
      </c>
      <c r="AN250" t="s">
        <v>242</v>
      </c>
      <c r="AO250">
        <v>333</v>
      </c>
    </row>
    <row r="251" spans="1:41" x14ac:dyDescent="0.3">
      <c r="A251">
        <v>790378</v>
      </c>
      <c r="B251" t="s">
        <v>185</v>
      </c>
      <c r="C251" t="str">
        <f>_xlfn.XLOOKUP(B251,Match!$A$2:$A$111,Match!$B$2:$B$111)</f>
        <v>Wakulla, FL</v>
      </c>
      <c r="D251" t="str">
        <f>_xlfn.XLOOKUP(C251,Validation!$B$2:$B$68,Validation!$A$2:$A$68)</f>
        <v>12129</v>
      </c>
      <c r="E251" t="s">
        <v>40</v>
      </c>
      <c r="F251" s="1">
        <v>43383</v>
      </c>
      <c r="G251">
        <v>500</v>
      </c>
      <c r="H251" t="s">
        <v>190</v>
      </c>
      <c r="I251" t="s">
        <v>40</v>
      </c>
      <c r="J251" t="s">
        <v>40</v>
      </c>
      <c r="K251">
        <v>0</v>
      </c>
      <c r="L251">
        <v>0</v>
      </c>
      <c r="M251">
        <v>100000000</v>
      </c>
      <c r="N251">
        <v>150000000</v>
      </c>
      <c r="O251" t="s">
        <v>42</v>
      </c>
      <c r="P251" t="s">
        <v>180</v>
      </c>
      <c r="Q251" t="s">
        <v>40</v>
      </c>
      <c r="R251">
        <v>130185</v>
      </c>
      <c r="S251" t="s">
        <v>44</v>
      </c>
      <c r="T251">
        <v>27</v>
      </c>
      <c r="U251" t="s">
        <v>106</v>
      </c>
      <c r="V251">
        <v>0</v>
      </c>
      <c r="W251">
        <v>1</v>
      </c>
      <c r="X251" t="s">
        <v>193</v>
      </c>
      <c r="Y251" t="s">
        <v>40</v>
      </c>
      <c r="Z251" t="s">
        <v>40</v>
      </c>
      <c r="AA251" t="s">
        <v>40</v>
      </c>
      <c r="AB251" t="s">
        <v>40</v>
      </c>
      <c r="AC251" t="s">
        <v>40</v>
      </c>
      <c r="AD251" t="s">
        <v>40</v>
      </c>
      <c r="AE251" t="s">
        <v>40</v>
      </c>
      <c r="AF251" t="s">
        <v>40</v>
      </c>
      <c r="AG251" s="1">
        <v>43383</v>
      </c>
      <c r="AH251">
        <v>2200</v>
      </c>
      <c r="AI251" t="s">
        <v>40</v>
      </c>
      <c r="AJ251" t="s">
        <v>40</v>
      </c>
      <c r="AK251" t="s">
        <v>40</v>
      </c>
      <c r="AL251" t="s">
        <v>40</v>
      </c>
      <c r="AN251" t="s">
        <v>242</v>
      </c>
      <c r="AO251">
        <v>334</v>
      </c>
    </row>
    <row r="252" spans="1:41" x14ac:dyDescent="0.3">
      <c r="A252">
        <v>790384</v>
      </c>
      <c r="B252" t="s">
        <v>151</v>
      </c>
      <c r="C252" t="str">
        <f>_xlfn.XLOOKUP(B252,Match!$A$2:$A$111,Match!$B$2:$B$111)</f>
        <v>Jackson, FL</v>
      </c>
      <c r="D252" t="str">
        <f>_xlfn.XLOOKUP(C252,Validation!$B$2:$B$68,Validation!$A$2:$A$68)</f>
        <v>12063</v>
      </c>
      <c r="E252" t="s">
        <v>40</v>
      </c>
      <c r="F252" s="1">
        <v>43383</v>
      </c>
      <c r="G252">
        <v>500</v>
      </c>
      <c r="H252" t="s">
        <v>190</v>
      </c>
      <c r="I252" t="s">
        <v>40</v>
      </c>
      <c r="J252" t="s">
        <v>40</v>
      </c>
      <c r="K252">
        <v>1</v>
      </c>
      <c r="L252">
        <v>0</v>
      </c>
      <c r="M252">
        <v>500000000</v>
      </c>
      <c r="N252">
        <v>150000000</v>
      </c>
      <c r="O252" t="s">
        <v>42</v>
      </c>
      <c r="P252" t="s">
        <v>180</v>
      </c>
      <c r="Q252" t="s">
        <v>40</v>
      </c>
      <c r="R252">
        <v>130185</v>
      </c>
      <c r="S252" t="s">
        <v>44</v>
      </c>
      <c r="T252">
        <v>11</v>
      </c>
      <c r="U252" t="s">
        <v>106</v>
      </c>
      <c r="V252">
        <v>0</v>
      </c>
      <c r="W252">
        <v>4</v>
      </c>
      <c r="X252" t="s">
        <v>193</v>
      </c>
      <c r="Y252" t="s">
        <v>40</v>
      </c>
      <c r="Z252" t="s">
        <v>40</v>
      </c>
      <c r="AA252" t="s">
        <v>40</v>
      </c>
      <c r="AB252" t="s">
        <v>40</v>
      </c>
      <c r="AC252" t="s">
        <v>40</v>
      </c>
      <c r="AD252" t="s">
        <v>40</v>
      </c>
      <c r="AE252" t="s">
        <v>40</v>
      </c>
      <c r="AF252" t="s">
        <v>40</v>
      </c>
      <c r="AG252" s="1">
        <v>43383</v>
      </c>
      <c r="AH252">
        <v>2200</v>
      </c>
      <c r="AI252" t="s">
        <v>40</v>
      </c>
      <c r="AJ252" t="s">
        <v>40</v>
      </c>
      <c r="AK252" t="s">
        <v>40</v>
      </c>
      <c r="AL252" t="s">
        <v>40</v>
      </c>
      <c r="AN252" t="s">
        <v>242</v>
      </c>
      <c r="AO252">
        <v>335</v>
      </c>
    </row>
    <row r="253" spans="1:41" x14ac:dyDescent="0.3">
      <c r="A253">
        <v>790382</v>
      </c>
      <c r="B253" t="s">
        <v>113</v>
      </c>
      <c r="C253" t="str">
        <f>_xlfn.XLOOKUP(B253,Match!$A$2:$A$111,Match!$B$2:$B$111)</f>
        <v>Liberty, FL</v>
      </c>
      <c r="D253" t="str">
        <f>_xlfn.XLOOKUP(C253,Validation!$B$2:$B$68,Validation!$A$2:$A$68)</f>
        <v>12077</v>
      </c>
      <c r="E253" t="s">
        <v>40</v>
      </c>
      <c r="F253" s="1">
        <v>43383</v>
      </c>
      <c r="G253">
        <v>500</v>
      </c>
      <c r="H253" t="s">
        <v>190</v>
      </c>
      <c r="I253" t="s">
        <v>40</v>
      </c>
      <c r="J253" t="s">
        <v>40</v>
      </c>
      <c r="K253">
        <v>0</v>
      </c>
      <c r="L253">
        <v>0</v>
      </c>
      <c r="M253">
        <v>450000000</v>
      </c>
      <c r="N253">
        <v>150000000</v>
      </c>
      <c r="O253" t="s">
        <v>42</v>
      </c>
      <c r="P253" t="s">
        <v>180</v>
      </c>
      <c r="Q253" t="s">
        <v>40</v>
      </c>
      <c r="R253">
        <v>130185</v>
      </c>
      <c r="S253" t="s">
        <v>44</v>
      </c>
      <c r="T253">
        <v>26</v>
      </c>
      <c r="U253" t="s">
        <v>106</v>
      </c>
      <c r="V253">
        <v>0</v>
      </c>
      <c r="W253">
        <v>4</v>
      </c>
      <c r="X253" t="s">
        <v>193</v>
      </c>
      <c r="Y253" t="s">
        <v>40</v>
      </c>
      <c r="Z253" t="s">
        <v>40</v>
      </c>
      <c r="AA253" t="s">
        <v>40</v>
      </c>
      <c r="AB253" t="s">
        <v>40</v>
      </c>
      <c r="AC253" t="s">
        <v>40</v>
      </c>
      <c r="AD253" t="s">
        <v>40</v>
      </c>
      <c r="AE253" t="s">
        <v>40</v>
      </c>
      <c r="AF253" t="s">
        <v>40</v>
      </c>
      <c r="AG253" s="1">
        <v>43383</v>
      </c>
      <c r="AH253">
        <v>2200</v>
      </c>
      <c r="AI253" t="s">
        <v>40</v>
      </c>
      <c r="AJ253" t="s">
        <v>40</v>
      </c>
      <c r="AK253" t="s">
        <v>40</v>
      </c>
      <c r="AL253" t="s">
        <v>40</v>
      </c>
      <c r="AN253" t="s">
        <v>242</v>
      </c>
      <c r="AO253">
        <v>336</v>
      </c>
    </row>
    <row r="254" spans="1:41" x14ac:dyDescent="0.3">
      <c r="A254">
        <v>790380</v>
      </c>
      <c r="B254" t="s">
        <v>112</v>
      </c>
      <c r="C254" t="str">
        <f>_xlfn.XLOOKUP(B254,Match!$A$2:$A$111,Match!$B$2:$B$111)</f>
        <v>Leon, FL</v>
      </c>
      <c r="D254" t="str">
        <f>_xlfn.XLOOKUP(C254,Validation!$B$2:$B$68,Validation!$A$2:$A$68)</f>
        <v>12073</v>
      </c>
      <c r="E254" t="s">
        <v>40</v>
      </c>
      <c r="F254" s="1">
        <v>43383</v>
      </c>
      <c r="G254">
        <v>500</v>
      </c>
      <c r="H254" t="s">
        <v>190</v>
      </c>
      <c r="I254" t="s">
        <v>40</v>
      </c>
      <c r="J254" t="s">
        <v>40</v>
      </c>
      <c r="K254">
        <v>0</v>
      </c>
      <c r="L254">
        <v>0</v>
      </c>
      <c r="M254">
        <v>100000000</v>
      </c>
      <c r="N254">
        <v>50000000</v>
      </c>
      <c r="O254" t="s">
        <v>42</v>
      </c>
      <c r="P254" t="s">
        <v>180</v>
      </c>
      <c r="Q254" t="s">
        <v>40</v>
      </c>
      <c r="R254">
        <v>130185</v>
      </c>
      <c r="S254" t="s">
        <v>44</v>
      </c>
      <c r="T254">
        <v>17</v>
      </c>
      <c r="U254" t="s">
        <v>106</v>
      </c>
      <c r="V254">
        <v>0</v>
      </c>
      <c r="W254">
        <v>3</v>
      </c>
      <c r="X254" t="s">
        <v>193</v>
      </c>
      <c r="Y254" t="s">
        <v>40</v>
      </c>
      <c r="Z254" t="s">
        <v>40</v>
      </c>
      <c r="AA254" t="s">
        <v>40</v>
      </c>
      <c r="AB254" t="s">
        <v>40</v>
      </c>
      <c r="AC254" t="s">
        <v>40</v>
      </c>
      <c r="AD254" t="s">
        <v>40</v>
      </c>
      <c r="AE254" t="s">
        <v>40</v>
      </c>
      <c r="AF254" t="s">
        <v>40</v>
      </c>
      <c r="AG254" s="1">
        <v>43383</v>
      </c>
      <c r="AH254">
        <v>2200</v>
      </c>
      <c r="AI254" t="s">
        <v>40</v>
      </c>
      <c r="AJ254" t="s">
        <v>40</v>
      </c>
      <c r="AK254" t="s">
        <v>40</v>
      </c>
      <c r="AL254" t="s">
        <v>40</v>
      </c>
      <c r="AN254" t="s">
        <v>242</v>
      </c>
      <c r="AO254">
        <v>337</v>
      </c>
    </row>
    <row r="255" spans="1:41" x14ac:dyDescent="0.3">
      <c r="A255">
        <v>790381</v>
      </c>
      <c r="B255" t="s">
        <v>109</v>
      </c>
      <c r="C255" t="str">
        <f>_xlfn.XLOOKUP(B255,Match!$A$2:$A$111,Match!$B$2:$B$111)</f>
        <v>Gadsden, FL</v>
      </c>
      <c r="D255" t="str">
        <f>_xlfn.XLOOKUP(C255,Validation!$B$2:$B$68,Validation!$A$2:$A$68)</f>
        <v>12039</v>
      </c>
      <c r="E255" t="s">
        <v>40</v>
      </c>
      <c r="F255" s="1">
        <v>43383</v>
      </c>
      <c r="G255">
        <v>500</v>
      </c>
      <c r="H255" t="s">
        <v>190</v>
      </c>
      <c r="I255" t="s">
        <v>40</v>
      </c>
      <c r="J255" t="s">
        <v>40</v>
      </c>
      <c r="K255">
        <v>1</v>
      </c>
      <c r="L255">
        <v>0</v>
      </c>
      <c r="M255">
        <v>300000000</v>
      </c>
      <c r="N255">
        <v>150000000</v>
      </c>
      <c r="O255" t="s">
        <v>42</v>
      </c>
      <c r="P255" t="s">
        <v>180</v>
      </c>
      <c r="Q255" t="s">
        <v>40</v>
      </c>
      <c r="R255">
        <v>130185</v>
      </c>
      <c r="S255" t="s">
        <v>44</v>
      </c>
      <c r="T255">
        <v>16</v>
      </c>
      <c r="U255" t="s">
        <v>106</v>
      </c>
      <c r="V255">
        <v>0</v>
      </c>
      <c r="W255">
        <v>1</v>
      </c>
      <c r="X255" t="s">
        <v>193</v>
      </c>
      <c r="Y255" t="s">
        <v>40</v>
      </c>
      <c r="Z255" t="s">
        <v>40</v>
      </c>
      <c r="AA255" t="s">
        <v>40</v>
      </c>
      <c r="AB255" t="s">
        <v>40</v>
      </c>
      <c r="AC255" t="s">
        <v>40</v>
      </c>
      <c r="AD255" t="s">
        <v>40</v>
      </c>
      <c r="AE255" t="s">
        <v>40</v>
      </c>
      <c r="AF255" t="s">
        <v>40</v>
      </c>
      <c r="AG255" s="1">
        <v>43383</v>
      </c>
      <c r="AH255">
        <v>2200</v>
      </c>
      <c r="AI255" t="s">
        <v>40</v>
      </c>
      <c r="AJ255" t="s">
        <v>40</v>
      </c>
      <c r="AK255" t="s">
        <v>40</v>
      </c>
      <c r="AL255" t="s">
        <v>40</v>
      </c>
      <c r="AN255" t="s">
        <v>242</v>
      </c>
      <c r="AO255">
        <v>338</v>
      </c>
    </row>
    <row r="256" spans="1:41" x14ac:dyDescent="0.3">
      <c r="A256">
        <v>790374</v>
      </c>
      <c r="B256" t="s">
        <v>245</v>
      </c>
      <c r="C256" t="str">
        <f>_xlfn.XLOOKUP(B256,Match!$A$2:$A$111,Match!$B$2:$B$111)</f>
        <v>Gulf, FL</v>
      </c>
      <c r="D256" t="str">
        <f>_xlfn.XLOOKUP(C256,Validation!$B$2:$B$68,Validation!$A$2:$A$68)</f>
        <v>12045</v>
      </c>
      <c r="E256" t="s">
        <v>40</v>
      </c>
      <c r="F256" s="1">
        <v>43383</v>
      </c>
      <c r="G256">
        <v>500</v>
      </c>
      <c r="H256" t="s">
        <v>190</v>
      </c>
      <c r="I256" t="s">
        <v>40</v>
      </c>
      <c r="J256" t="s">
        <v>40</v>
      </c>
      <c r="K256">
        <v>1</v>
      </c>
      <c r="L256">
        <v>0</v>
      </c>
      <c r="M256">
        <v>100000000</v>
      </c>
      <c r="N256">
        <v>0</v>
      </c>
      <c r="O256" t="s">
        <v>42</v>
      </c>
      <c r="P256" t="s">
        <v>180</v>
      </c>
      <c r="Q256" t="s">
        <v>40</v>
      </c>
      <c r="R256">
        <v>130185</v>
      </c>
      <c r="S256" t="s">
        <v>44</v>
      </c>
      <c r="T256">
        <v>114</v>
      </c>
      <c r="U256" t="s">
        <v>106</v>
      </c>
      <c r="V256">
        <v>0</v>
      </c>
      <c r="W256">
        <v>2</v>
      </c>
      <c r="X256" t="s">
        <v>193</v>
      </c>
      <c r="Y256" t="s">
        <v>40</v>
      </c>
      <c r="Z256" t="s">
        <v>40</v>
      </c>
      <c r="AA256" t="s">
        <v>40</v>
      </c>
      <c r="AB256" t="s">
        <v>40</v>
      </c>
      <c r="AC256" t="s">
        <v>40</v>
      </c>
      <c r="AD256" t="s">
        <v>40</v>
      </c>
      <c r="AE256" t="s">
        <v>40</v>
      </c>
      <c r="AF256" t="s">
        <v>40</v>
      </c>
      <c r="AG256" s="1">
        <v>43383</v>
      </c>
      <c r="AH256">
        <v>2200</v>
      </c>
      <c r="AI256" t="s">
        <v>40</v>
      </c>
      <c r="AJ256" t="s">
        <v>40</v>
      </c>
      <c r="AK256" t="s">
        <v>40</v>
      </c>
      <c r="AL256" t="s">
        <v>40</v>
      </c>
      <c r="AN256" t="s">
        <v>242</v>
      </c>
      <c r="AO256">
        <v>339</v>
      </c>
    </row>
    <row r="257" spans="1:41" x14ac:dyDescent="0.3">
      <c r="A257">
        <v>921128</v>
      </c>
      <c r="B257" t="s">
        <v>246</v>
      </c>
      <c r="C257" t="str">
        <f>_xlfn.XLOOKUP(B257,Match!$A$2:$A$111,Match!$B$2:$B$111)</f>
        <v>Escambia, FL</v>
      </c>
      <c r="D257" t="str">
        <f>_xlfn.XLOOKUP(C257,Validation!$B$2:$B$68,Validation!$A$2:$A$68)</f>
        <v>12033</v>
      </c>
      <c r="E257" t="s">
        <v>40</v>
      </c>
      <c r="F257" s="1">
        <v>44089</v>
      </c>
      <c r="G257">
        <v>500</v>
      </c>
      <c r="H257" t="s">
        <v>190</v>
      </c>
      <c r="I257" t="s">
        <v>40</v>
      </c>
      <c r="J257" t="s">
        <v>40</v>
      </c>
      <c r="K257">
        <v>0</v>
      </c>
      <c r="L257">
        <v>0</v>
      </c>
      <c r="M257">
        <v>0</v>
      </c>
      <c r="N257">
        <v>30000000</v>
      </c>
      <c r="O257" t="s">
        <v>42</v>
      </c>
      <c r="P257" t="s">
        <v>247</v>
      </c>
      <c r="Q257" t="s">
        <v>40</v>
      </c>
      <c r="R257">
        <v>152941</v>
      </c>
      <c r="S257" t="s">
        <v>44</v>
      </c>
      <c r="T257">
        <v>202</v>
      </c>
      <c r="U257" t="s">
        <v>138</v>
      </c>
      <c r="V257">
        <v>0</v>
      </c>
      <c r="W257">
        <v>0</v>
      </c>
      <c r="X257" t="s">
        <v>200</v>
      </c>
      <c r="Y257" t="s">
        <v>40</v>
      </c>
      <c r="Z257" t="s">
        <v>40</v>
      </c>
      <c r="AA257" t="s">
        <v>40</v>
      </c>
      <c r="AB257" t="s">
        <v>40</v>
      </c>
      <c r="AC257" t="s">
        <v>40</v>
      </c>
      <c r="AD257" t="s">
        <v>40</v>
      </c>
      <c r="AE257" t="s">
        <v>40</v>
      </c>
      <c r="AF257" t="s">
        <v>40</v>
      </c>
      <c r="AG257" s="1">
        <v>44090</v>
      </c>
      <c r="AH257">
        <v>1200</v>
      </c>
      <c r="AI257" t="s">
        <v>40</v>
      </c>
      <c r="AJ257" t="s">
        <v>40</v>
      </c>
      <c r="AK257" t="s">
        <v>40</v>
      </c>
      <c r="AL257" t="s">
        <v>40</v>
      </c>
      <c r="AN257" t="s">
        <v>248</v>
      </c>
      <c r="AO257">
        <v>340</v>
      </c>
    </row>
    <row r="258" spans="1:41" x14ac:dyDescent="0.3">
      <c r="A258">
        <v>921129</v>
      </c>
      <c r="B258" t="s">
        <v>249</v>
      </c>
      <c r="C258" t="str">
        <f>_xlfn.XLOOKUP(B258,Match!$A$2:$A$111,Match!$B$2:$B$111)</f>
        <v>Escambia, FL</v>
      </c>
      <c r="D258" t="str">
        <f>_xlfn.XLOOKUP(C258,Validation!$B$2:$B$68,Validation!$A$2:$A$68)</f>
        <v>12033</v>
      </c>
      <c r="E258" t="s">
        <v>40</v>
      </c>
      <c r="F258" s="1">
        <v>44089</v>
      </c>
      <c r="G258">
        <v>500</v>
      </c>
      <c r="H258" t="s">
        <v>190</v>
      </c>
      <c r="I258" t="s">
        <v>40</v>
      </c>
      <c r="J258" t="s">
        <v>40</v>
      </c>
      <c r="K258">
        <v>0</v>
      </c>
      <c r="L258">
        <v>0</v>
      </c>
      <c r="M258">
        <v>0</v>
      </c>
      <c r="N258">
        <v>0</v>
      </c>
      <c r="O258" t="s">
        <v>42</v>
      </c>
      <c r="P258" t="s">
        <v>247</v>
      </c>
      <c r="Q258" t="s">
        <v>40</v>
      </c>
      <c r="R258">
        <v>152941</v>
      </c>
      <c r="S258" t="s">
        <v>44</v>
      </c>
      <c r="T258">
        <v>201</v>
      </c>
      <c r="U258" t="s">
        <v>138</v>
      </c>
      <c r="V258">
        <v>0</v>
      </c>
      <c r="W258">
        <v>0</v>
      </c>
      <c r="X258" t="s">
        <v>200</v>
      </c>
      <c r="Y258" t="s">
        <v>40</v>
      </c>
      <c r="Z258" t="s">
        <v>40</v>
      </c>
      <c r="AA258" t="s">
        <v>40</v>
      </c>
      <c r="AB258" t="s">
        <v>40</v>
      </c>
      <c r="AC258" t="s">
        <v>40</v>
      </c>
      <c r="AD258" t="s">
        <v>40</v>
      </c>
      <c r="AE258" t="s">
        <v>40</v>
      </c>
      <c r="AF258" t="s">
        <v>40</v>
      </c>
      <c r="AG258" s="1">
        <v>44090</v>
      </c>
      <c r="AH258">
        <v>1200</v>
      </c>
      <c r="AI258" t="s">
        <v>40</v>
      </c>
      <c r="AJ258" t="s">
        <v>40</v>
      </c>
      <c r="AK258" t="s">
        <v>40</v>
      </c>
      <c r="AL258" t="s">
        <v>40</v>
      </c>
      <c r="AN258" t="s">
        <v>248</v>
      </c>
      <c r="AO258">
        <v>341</v>
      </c>
    </row>
    <row r="259" spans="1:41" x14ac:dyDescent="0.3">
      <c r="A259">
        <v>1058306</v>
      </c>
      <c r="B259" t="s">
        <v>212</v>
      </c>
      <c r="C259" t="str">
        <f>_xlfn.XLOOKUP(B259,Match!$A$2:$A$111,Match!$B$2:$B$111)</f>
        <v>Collier, FL</v>
      </c>
      <c r="D259" t="str">
        <f>_xlfn.XLOOKUP(C259,Validation!$B$2:$B$68,Validation!$A$2:$A$68)</f>
        <v>12021</v>
      </c>
      <c r="E259" t="s">
        <v>40</v>
      </c>
      <c r="F259" s="1">
        <v>44832</v>
      </c>
      <c r="G259">
        <v>1000</v>
      </c>
      <c r="H259" t="s">
        <v>190</v>
      </c>
      <c r="I259" t="s">
        <v>40</v>
      </c>
      <c r="J259" t="s">
        <v>40</v>
      </c>
      <c r="K259">
        <v>0</v>
      </c>
      <c r="L259">
        <v>0</v>
      </c>
      <c r="M259">
        <v>2200000000</v>
      </c>
      <c r="N259">
        <v>0</v>
      </c>
      <c r="O259" t="s">
        <v>42</v>
      </c>
      <c r="P259" t="s">
        <v>180</v>
      </c>
      <c r="Q259" t="s">
        <v>40</v>
      </c>
      <c r="R259">
        <v>174305</v>
      </c>
      <c r="S259" t="s">
        <v>44</v>
      </c>
      <c r="T259">
        <v>69</v>
      </c>
      <c r="U259" t="s">
        <v>45</v>
      </c>
      <c r="V259">
        <v>0</v>
      </c>
      <c r="W259">
        <v>0</v>
      </c>
      <c r="X259" t="s">
        <v>250</v>
      </c>
      <c r="Y259" t="s">
        <v>40</v>
      </c>
      <c r="Z259" t="s">
        <v>40</v>
      </c>
      <c r="AA259" t="s">
        <v>40</v>
      </c>
      <c r="AB259" t="s">
        <v>40</v>
      </c>
      <c r="AC259" t="s">
        <v>40</v>
      </c>
      <c r="AD259" t="s">
        <v>40</v>
      </c>
      <c r="AE259" t="s">
        <v>40</v>
      </c>
      <c r="AF259" t="s">
        <v>40</v>
      </c>
      <c r="AG259" s="1">
        <v>44832</v>
      </c>
      <c r="AH259">
        <v>1700</v>
      </c>
      <c r="AI259" t="s">
        <v>40</v>
      </c>
      <c r="AJ259" t="s">
        <v>40</v>
      </c>
      <c r="AK259" t="s">
        <v>40</v>
      </c>
      <c r="AL259" t="s">
        <v>40</v>
      </c>
      <c r="AM259" t="s">
        <v>251</v>
      </c>
      <c r="AN259" t="s">
        <v>252</v>
      </c>
      <c r="AO259">
        <v>342</v>
      </c>
    </row>
    <row r="260" spans="1:41" x14ac:dyDescent="0.3">
      <c r="A260">
        <v>1058307</v>
      </c>
      <c r="B260" t="s">
        <v>214</v>
      </c>
      <c r="C260" t="str">
        <f>_xlfn.XLOOKUP(B260,Match!$A$2:$A$111,Match!$B$2:$B$111)</f>
        <v>Collier, FL</v>
      </c>
      <c r="D260" t="str">
        <f>_xlfn.XLOOKUP(C260,Validation!$B$2:$B$68,Validation!$A$2:$A$68)</f>
        <v>12021</v>
      </c>
      <c r="E260" t="s">
        <v>40</v>
      </c>
      <c r="F260" s="1">
        <v>44832</v>
      </c>
      <c r="G260">
        <v>1200</v>
      </c>
      <c r="H260" t="s">
        <v>190</v>
      </c>
      <c r="I260" t="s">
        <v>40</v>
      </c>
      <c r="J260" t="s">
        <v>40</v>
      </c>
      <c r="K260">
        <v>0</v>
      </c>
      <c r="L260">
        <v>0</v>
      </c>
      <c r="M260">
        <v>0</v>
      </c>
      <c r="N260">
        <v>0</v>
      </c>
      <c r="O260" t="s">
        <v>42</v>
      </c>
      <c r="P260" t="s">
        <v>180</v>
      </c>
      <c r="Q260" t="s">
        <v>40</v>
      </c>
      <c r="R260">
        <v>174305</v>
      </c>
      <c r="S260" t="s">
        <v>44</v>
      </c>
      <c r="T260">
        <v>70</v>
      </c>
      <c r="U260" t="s">
        <v>45</v>
      </c>
      <c r="V260">
        <v>0</v>
      </c>
      <c r="W260">
        <v>0</v>
      </c>
      <c r="X260" t="s">
        <v>250</v>
      </c>
      <c r="Y260" t="s">
        <v>40</v>
      </c>
      <c r="Z260" t="s">
        <v>40</v>
      </c>
      <c r="AA260" t="s">
        <v>40</v>
      </c>
      <c r="AB260" t="s">
        <v>40</v>
      </c>
      <c r="AC260" t="s">
        <v>40</v>
      </c>
      <c r="AD260" t="s">
        <v>40</v>
      </c>
      <c r="AE260" t="s">
        <v>40</v>
      </c>
      <c r="AF260" t="s">
        <v>40</v>
      </c>
      <c r="AG260" s="1">
        <v>44832</v>
      </c>
      <c r="AH260">
        <v>1700</v>
      </c>
      <c r="AI260" t="s">
        <v>40</v>
      </c>
      <c r="AJ260" t="s">
        <v>40</v>
      </c>
      <c r="AK260" t="s">
        <v>40</v>
      </c>
      <c r="AL260" t="s">
        <v>40</v>
      </c>
      <c r="AM260" t="s">
        <v>253</v>
      </c>
      <c r="AN260" t="s">
        <v>252</v>
      </c>
      <c r="AO260">
        <v>343</v>
      </c>
    </row>
    <row r="261" spans="1:41" x14ac:dyDescent="0.3">
      <c r="A261">
        <v>1058527</v>
      </c>
      <c r="B261" t="s">
        <v>254</v>
      </c>
      <c r="C261" t="str">
        <f>_xlfn.XLOOKUP(B261,Match!$A$2:$A$111,Match!$B$2:$B$111)</f>
        <v>Osceola, FL</v>
      </c>
      <c r="D261" t="str">
        <f>_xlfn.XLOOKUP(C261,Validation!$B$2:$B$68,Validation!$A$2:$A$68)</f>
        <v>12097</v>
      </c>
      <c r="E261" t="s">
        <v>40</v>
      </c>
      <c r="F261" s="1">
        <v>44832</v>
      </c>
      <c r="G261">
        <v>1400</v>
      </c>
      <c r="H261" t="s">
        <v>190</v>
      </c>
      <c r="I261" t="s">
        <v>40</v>
      </c>
      <c r="J261" t="s">
        <v>40</v>
      </c>
      <c r="K261">
        <v>0</v>
      </c>
      <c r="L261">
        <v>0</v>
      </c>
      <c r="M261">
        <v>0</v>
      </c>
      <c r="N261">
        <v>0</v>
      </c>
      <c r="O261" t="s">
        <v>42</v>
      </c>
      <c r="P261" t="s">
        <v>180</v>
      </c>
      <c r="Q261" t="s">
        <v>40</v>
      </c>
      <c r="R261">
        <v>174569</v>
      </c>
      <c r="S261" t="s">
        <v>44</v>
      </c>
      <c r="T261">
        <v>53</v>
      </c>
      <c r="U261" t="s">
        <v>66</v>
      </c>
      <c r="V261">
        <v>0</v>
      </c>
      <c r="W261">
        <v>4</v>
      </c>
      <c r="X261" t="s">
        <v>181</v>
      </c>
      <c r="Y261" t="s">
        <v>40</v>
      </c>
      <c r="Z261" t="s">
        <v>40</v>
      </c>
      <c r="AA261" t="s">
        <v>40</v>
      </c>
      <c r="AB261" t="s">
        <v>40</v>
      </c>
      <c r="AC261" t="s">
        <v>40</v>
      </c>
      <c r="AD261" t="s">
        <v>40</v>
      </c>
      <c r="AE261" t="s">
        <v>40</v>
      </c>
      <c r="AF261" t="s">
        <v>40</v>
      </c>
      <c r="AG261" s="1">
        <v>44833</v>
      </c>
      <c r="AH261">
        <v>2200</v>
      </c>
      <c r="AI261" t="s">
        <v>40</v>
      </c>
      <c r="AJ261" t="s">
        <v>40</v>
      </c>
      <c r="AK261" t="s">
        <v>40</v>
      </c>
      <c r="AL261" t="s">
        <v>40</v>
      </c>
      <c r="AM261" t="s">
        <v>255</v>
      </c>
      <c r="AN261" t="s">
        <v>256</v>
      </c>
      <c r="AO261">
        <v>344</v>
      </c>
    </row>
    <row r="262" spans="1:41" x14ac:dyDescent="0.3">
      <c r="A262">
        <v>1058205</v>
      </c>
      <c r="B262" t="s">
        <v>257</v>
      </c>
      <c r="C262" t="str">
        <f>_xlfn.XLOOKUP(B262,Match!$A$2:$A$111,Match!$B$2:$B$111)</f>
        <v>Okeechobee, FL</v>
      </c>
      <c r="D262" t="str">
        <f>_xlfn.XLOOKUP(C262,Validation!$B$2:$B$68,Validation!$A$2:$A$68)</f>
        <v>12093</v>
      </c>
      <c r="E262" t="s">
        <v>40</v>
      </c>
      <c r="F262" s="1">
        <v>44832</v>
      </c>
      <c r="G262">
        <v>1400</v>
      </c>
      <c r="H262" t="s">
        <v>190</v>
      </c>
      <c r="I262" t="s">
        <v>40</v>
      </c>
      <c r="J262" t="s">
        <v>40</v>
      </c>
      <c r="K262">
        <v>0</v>
      </c>
      <c r="L262">
        <v>0</v>
      </c>
      <c r="M262">
        <v>1400000</v>
      </c>
      <c r="N262">
        <v>0</v>
      </c>
      <c r="O262" t="s">
        <v>42</v>
      </c>
      <c r="P262" t="s">
        <v>180</v>
      </c>
      <c r="Q262" t="s">
        <v>40</v>
      </c>
      <c r="R262">
        <v>174569</v>
      </c>
      <c r="S262" t="s">
        <v>44</v>
      </c>
      <c r="T262">
        <v>58</v>
      </c>
      <c r="U262" t="s">
        <v>66</v>
      </c>
      <c r="V262">
        <v>0</v>
      </c>
      <c r="W262">
        <v>0</v>
      </c>
      <c r="X262" t="s">
        <v>193</v>
      </c>
      <c r="Y262" t="s">
        <v>40</v>
      </c>
      <c r="Z262" t="s">
        <v>40</v>
      </c>
      <c r="AA262" t="s">
        <v>40</v>
      </c>
      <c r="AB262" t="s">
        <v>40</v>
      </c>
      <c r="AC262" t="s">
        <v>40</v>
      </c>
      <c r="AD262" t="s">
        <v>40</v>
      </c>
      <c r="AE262" t="s">
        <v>40</v>
      </c>
      <c r="AF262" t="s">
        <v>40</v>
      </c>
      <c r="AG262" s="1">
        <v>44833</v>
      </c>
      <c r="AH262">
        <v>2000</v>
      </c>
      <c r="AI262" t="s">
        <v>40</v>
      </c>
      <c r="AJ262" t="s">
        <v>40</v>
      </c>
      <c r="AK262" t="s">
        <v>40</v>
      </c>
      <c r="AL262" t="s">
        <v>40</v>
      </c>
      <c r="AM262" t="s">
        <v>258</v>
      </c>
      <c r="AN262" t="s">
        <v>256</v>
      </c>
      <c r="AO262">
        <v>345</v>
      </c>
    </row>
    <row r="263" spans="1:41" x14ac:dyDescent="0.3">
      <c r="A263">
        <v>1058654</v>
      </c>
      <c r="B263" t="s">
        <v>224</v>
      </c>
      <c r="C263" t="str">
        <f>_xlfn.XLOOKUP(B263,Match!$A$2:$A$111,Match!$B$2:$B$111)</f>
        <v>Lee, FL</v>
      </c>
      <c r="D263" t="str">
        <f>_xlfn.XLOOKUP(C263,Validation!$B$2:$B$68,Validation!$A$2:$A$68)</f>
        <v>12071</v>
      </c>
      <c r="E263" t="s">
        <v>40</v>
      </c>
      <c r="F263" s="1">
        <v>44832</v>
      </c>
      <c r="G263">
        <v>1405</v>
      </c>
      <c r="H263" t="s">
        <v>190</v>
      </c>
      <c r="I263" t="s">
        <v>40</v>
      </c>
      <c r="J263" t="s">
        <v>40</v>
      </c>
      <c r="K263">
        <v>60</v>
      </c>
      <c r="L263">
        <v>0</v>
      </c>
      <c r="M263">
        <v>7000000000</v>
      </c>
      <c r="N263">
        <v>0</v>
      </c>
      <c r="O263" t="s">
        <v>42</v>
      </c>
      <c r="P263" t="s">
        <v>180</v>
      </c>
      <c r="Q263" t="s">
        <v>40</v>
      </c>
      <c r="R263">
        <v>174632</v>
      </c>
      <c r="S263" t="s">
        <v>44</v>
      </c>
      <c r="T263">
        <v>165</v>
      </c>
      <c r="U263" t="s">
        <v>54</v>
      </c>
      <c r="V263">
        <v>0</v>
      </c>
      <c r="W263">
        <v>0</v>
      </c>
      <c r="X263" t="s">
        <v>200</v>
      </c>
      <c r="Y263" t="s">
        <v>40</v>
      </c>
      <c r="Z263" t="s">
        <v>40</v>
      </c>
      <c r="AA263" t="s">
        <v>40</v>
      </c>
      <c r="AB263" t="s">
        <v>40</v>
      </c>
      <c r="AC263" t="s">
        <v>40</v>
      </c>
      <c r="AD263" t="s">
        <v>40</v>
      </c>
      <c r="AE263" t="s">
        <v>40</v>
      </c>
      <c r="AF263" t="s">
        <v>40</v>
      </c>
      <c r="AG263" s="1">
        <v>44832</v>
      </c>
      <c r="AH263">
        <v>1405</v>
      </c>
      <c r="AI263" t="s">
        <v>40</v>
      </c>
      <c r="AJ263" t="s">
        <v>40</v>
      </c>
      <c r="AK263" t="s">
        <v>40</v>
      </c>
      <c r="AL263" t="s">
        <v>40</v>
      </c>
      <c r="AM263" t="s">
        <v>259</v>
      </c>
      <c r="AN263" t="s">
        <v>260</v>
      </c>
      <c r="AO263">
        <v>346</v>
      </c>
    </row>
    <row r="264" spans="1:41" x14ac:dyDescent="0.3">
      <c r="A264">
        <v>1058309</v>
      </c>
      <c r="B264" t="s">
        <v>123</v>
      </c>
      <c r="C264" t="str">
        <f>_xlfn.XLOOKUP(B264,Match!$A$2:$A$111,Match!$B$2:$B$111)</f>
        <v>Hendry, FL</v>
      </c>
      <c r="D264" t="str">
        <f>_xlfn.XLOOKUP(C264,Validation!$B$2:$B$68,Validation!$A$2:$A$68)</f>
        <v>12051</v>
      </c>
      <c r="E264" t="s">
        <v>40</v>
      </c>
      <c r="F264" s="1">
        <v>44832</v>
      </c>
      <c r="G264">
        <v>1500</v>
      </c>
      <c r="H264" t="s">
        <v>190</v>
      </c>
      <c r="I264" t="s">
        <v>40</v>
      </c>
      <c r="J264" t="s">
        <v>40</v>
      </c>
      <c r="K264">
        <v>0</v>
      </c>
      <c r="L264">
        <v>0</v>
      </c>
      <c r="M264">
        <v>419000</v>
      </c>
      <c r="N264">
        <v>0</v>
      </c>
      <c r="O264" t="s">
        <v>42</v>
      </c>
      <c r="P264" t="s">
        <v>180</v>
      </c>
      <c r="Q264" t="s">
        <v>40</v>
      </c>
      <c r="R264">
        <v>174305</v>
      </c>
      <c r="S264" t="s">
        <v>44</v>
      </c>
      <c r="T264">
        <v>66</v>
      </c>
      <c r="U264" t="s">
        <v>45</v>
      </c>
      <c r="V264">
        <v>0</v>
      </c>
      <c r="W264">
        <v>2</v>
      </c>
      <c r="X264" t="s">
        <v>250</v>
      </c>
      <c r="Y264" t="s">
        <v>40</v>
      </c>
      <c r="Z264" t="s">
        <v>40</v>
      </c>
      <c r="AA264" t="s">
        <v>40</v>
      </c>
      <c r="AB264" t="s">
        <v>40</v>
      </c>
      <c r="AC264" t="s">
        <v>40</v>
      </c>
      <c r="AD264" t="s">
        <v>40</v>
      </c>
      <c r="AE264" t="s">
        <v>40</v>
      </c>
      <c r="AF264" t="s">
        <v>40</v>
      </c>
      <c r="AG264" s="1">
        <v>44832</v>
      </c>
      <c r="AH264">
        <v>2100</v>
      </c>
      <c r="AI264" t="s">
        <v>40</v>
      </c>
      <c r="AJ264" t="s">
        <v>40</v>
      </c>
      <c r="AK264" t="s">
        <v>40</v>
      </c>
      <c r="AL264" t="s">
        <v>40</v>
      </c>
      <c r="AM264" t="s">
        <v>261</v>
      </c>
      <c r="AN264" t="s">
        <v>252</v>
      </c>
      <c r="AO264">
        <v>347</v>
      </c>
    </row>
    <row r="265" spans="1:41" x14ac:dyDescent="0.3">
      <c r="A265">
        <v>1058310</v>
      </c>
      <c r="B265" t="s">
        <v>124</v>
      </c>
      <c r="C265" t="str">
        <f>_xlfn.XLOOKUP(B265,Match!$A$2:$A$111,Match!$B$2:$B$111)</f>
        <v>Glades, FL</v>
      </c>
      <c r="D265" t="str">
        <f>_xlfn.XLOOKUP(C265,Validation!$B$2:$B$68,Validation!$A$2:$A$68)</f>
        <v>12043</v>
      </c>
      <c r="E265" t="s">
        <v>40</v>
      </c>
      <c r="F265" s="1">
        <v>44832</v>
      </c>
      <c r="G265">
        <v>1500</v>
      </c>
      <c r="H265" t="s">
        <v>190</v>
      </c>
      <c r="I265" t="s">
        <v>40</v>
      </c>
      <c r="J265" t="s">
        <v>40</v>
      </c>
      <c r="K265">
        <v>0</v>
      </c>
      <c r="L265">
        <v>0</v>
      </c>
      <c r="M265">
        <v>0</v>
      </c>
      <c r="N265">
        <v>0</v>
      </c>
      <c r="O265" t="s">
        <v>42</v>
      </c>
      <c r="P265" t="s">
        <v>180</v>
      </c>
      <c r="Q265" t="s">
        <v>40</v>
      </c>
      <c r="R265">
        <v>174305</v>
      </c>
      <c r="S265" t="s">
        <v>44</v>
      </c>
      <c r="T265">
        <v>63</v>
      </c>
      <c r="U265" t="s">
        <v>45</v>
      </c>
      <c r="V265">
        <v>0</v>
      </c>
      <c r="W265">
        <v>2</v>
      </c>
      <c r="X265" t="s">
        <v>250</v>
      </c>
      <c r="Y265" t="s">
        <v>40</v>
      </c>
      <c r="Z265" t="s">
        <v>40</v>
      </c>
      <c r="AA265" t="s">
        <v>40</v>
      </c>
      <c r="AB265" t="s">
        <v>40</v>
      </c>
      <c r="AC265" t="s">
        <v>40</v>
      </c>
      <c r="AD265" t="s">
        <v>40</v>
      </c>
      <c r="AE265" t="s">
        <v>40</v>
      </c>
      <c r="AF265" t="s">
        <v>40</v>
      </c>
      <c r="AG265" s="1">
        <v>44832</v>
      </c>
      <c r="AH265">
        <v>2300</v>
      </c>
      <c r="AI265" t="s">
        <v>40</v>
      </c>
      <c r="AJ265" t="s">
        <v>40</v>
      </c>
      <c r="AK265" t="s">
        <v>40</v>
      </c>
      <c r="AL265" t="s">
        <v>40</v>
      </c>
      <c r="AM265" t="s">
        <v>262</v>
      </c>
      <c r="AN265" t="s">
        <v>252</v>
      </c>
      <c r="AO265">
        <v>348</v>
      </c>
    </row>
    <row r="266" spans="1:41" x14ac:dyDescent="0.3">
      <c r="A266">
        <v>1058657</v>
      </c>
      <c r="B266" t="s">
        <v>229</v>
      </c>
      <c r="C266" t="str">
        <f>_xlfn.XLOOKUP(B266,Match!$A$2:$A$111,Match!$B$2:$B$111)</f>
        <v>Sarasota, FL</v>
      </c>
      <c r="D266" t="str">
        <f>_xlfn.XLOOKUP(C266,Validation!$B$2:$B$68,Validation!$A$2:$A$68)</f>
        <v>12115</v>
      </c>
      <c r="E266" t="s">
        <v>40</v>
      </c>
      <c r="F266" s="1">
        <v>44832</v>
      </c>
      <c r="G266">
        <v>1535</v>
      </c>
      <c r="H266" t="s">
        <v>190</v>
      </c>
      <c r="I266" t="s">
        <v>40</v>
      </c>
      <c r="J266" t="s">
        <v>40</v>
      </c>
      <c r="K266">
        <v>8</v>
      </c>
      <c r="L266">
        <v>0</v>
      </c>
      <c r="M266">
        <v>2000000000</v>
      </c>
      <c r="N266">
        <v>0</v>
      </c>
      <c r="O266" t="s">
        <v>42</v>
      </c>
      <c r="P266" t="s">
        <v>180</v>
      </c>
      <c r="Q266" t="s">
        <v>40</v>
      </c>
      <c r="R266">
        <v>174632</v>
      </c>
      <c r="S266" t="s">
        <v>44</v>
      </c>
      <c r="T266">
        <v>160</v>
      </c>
      <c r="U266" t="s">
        <v>54</v>
      </c>
      <c r="V266">
        <v>0</v>
      </c>
      <c r="W266">
        <v>0</v>
      </c>
      <c r="X266" t="s">
        <v>200</v>
      </c>
      <c r="Y266" t="s">
        <v>40</v>
      </c>
      <c r="Z266" t="s">
        <v>40</v>
      </c>
      <c r="AA266" t="s">
        <v>40</v>
      </c>
      <c r="AB266" t="s">
        <v>40</v>
      </c>
      <c r="AC266" t="s">
        <v>40</v>
      </c>
      <c r="AD266" t="s">
        <v>40</v>
      </c>
      <c r="AE266" t="s">
        <v>40</v>
      </c>
      <c r="AF266" t="s">
        <v>40</v>
      </c>
      <c r="AG266" s="1">
        <v>44832</v>
      </c>
      <c r="AH266">
        <v>1535</v>
      </c>
      <c r="AI266" t="s">
        <v>40</v>
      </c>
      <c r="AJ266" t="s">
        <v>40</v>
      </c>
      <c r="AK266" t="s">
        <v>40</v>
      </c>
      <c r="AL266" t="s">
        <v>40</v>
      </c>
      <c r="AM266" t="s">
        <v>263</v>
      </c>
      <c r="AN266" t="s">
        <v>260</v>
      </c>
      <c r="AO266">
        <v>349</v>
      </c>
    </row>
    <row r="267" spans="1:41" x14ac:dyDescent="0.3">
      <c r="A267">
        <v>1058660</v>
      </c>
      <c r="B267" t="s">
        <v>216</v>
      </c>
      <c r="C267" t="str">
        <f>_xlfn.XLOOKUP(B267,Match!$A$2:$A$111,Match!$B$2:$B$111)</f>
        <v>Charlotte, FL</v>
      </c>
      <c r="D267" t="str">
        <f>_xlfn.XLOOKUP(C267,Validation!$B$2:$B$68,Validation!$A$2:$A$68)</f>
        <v>12015</v>
      </c>
      <c r="E267" t="s">
        <v>40</v>
      </c>
      <c r="F267" s="1">
        <v>44832</v>
      </c>
      <c r="G267">
        <v>1535</v>
      </c>
      <c r="H267" t="s">
        <v>190</v>
      </c>
      <c r="I267" t="s">
        <v>40</v>
      </c>
      <c r="J267" t="s">
        <v>40</v>
      </c>
      <c r="K267">
        <v>0</v>
      </c>
      <c r="L267">
        <v>0</v>
      </c>
      <c r="M267">
        <v>0</v>
      </c>
      <c r="N267">
        <v>0</v>
      </c>
      <c r="O267" t="s">
        <v>42</v>
      </c>
      <c r="P267" t="s">
        <v>180</v>
      </c>
      <c r="Q267" t="s">
        <v>40</v>
      </c>
      <c r="R267">
        <v>174632</v>
      </c>
      <c r="S267" t="s">
        <v>44</v>
      </c>
      <c r="T267">
        <v>262</v>
      </c>
      <c r="U267" t="s">
        <v>54</v>
      </c>
      <c r="V267">
        <v>0</v>
      </c>
      <c r="W267">
        <v>0</v>
      </c>
      <c r="X267" t="s">
        <v>200</v>
      </c>
      <c r="Y267" t="s">
        <v>40</v>
      </c>
      <c r="Z267" t="s">
        <v>40</v>
      </c>
      <c r="AA267" t="s">
        <v>40</v>
      </c>
      <c r="AB267" t="s">
        <v>40</v>
      </c>
      <c r="AC267" t="s">
        <v>40</v>
      </c>
      <c r="AD267" t="s">
        <v>40</v>
      </c>
      <c r="AE267" t="s">
        <v>40</v>
      </c>
      <c r="AF267" t="s">
        <v>40</v>
      </c>
      <c r="AG267" s="1">
        <v>44832</v>
      </c>
      <c r="AH267">
        <v>1535</v>
      </c>
      <c r="AI267" t="s">
        <v>40</v>
      </c>
      <c r="AJ267" t="s">
        <v>40</v>
      </c>
      <c r="AK267" t="s">
        <v>40</v>
      </c>
      <c r="AL267" t="s">
        <v>40</v>
      </c>
      <c r="AM267" t="s">
        <v>264</v>
      </c>
      <c r="AN267" t="s">
        <v>260</v>
      </c>
      <c r="AO267">
        <v>350</v>
      </c>
    </row>
    <row r="268" spans="1:41" x14ac:dyDescent="0.3">
      <c r="A268">
        <v>1058659</v>
      </c>
      <c r="B268" t="s">
        <v>218</v>
      </c>
      <c r="C268" t="str">
        <f>_xlfn.XLOOKUP(B268,Match!$A$2:$A$111,Match!$B$2:$B$111)</f>
        <v>Lee, FL</v>
      </c>
      <c r="D268" t="str">
        <f>_xlfn.XLOOKUP(C268,Validation!$B$2:$B$68,Validation!$A$2:$A$68)</f>
        <v>12071</v>
      </c>
      <c r="E268" t="s">
        <v>40</v>
      </c>
      <c r="F268" s="1">
        <v>44832</v>
      </c>
      <c r="G268">
        <v>1535</v>
      </c>
      <c r="H268" t="s">
        <v>190</v>
      </c>
      <c r="I268" t="s">
        <v>40</v>
      </c>
      <c r="J268" t="s">
        <v>40</v>
      </c>
      <c r="K268">
        <v>0</v>
      </c>
      <c r="L268">
        <v>0</v>
      </c>
      <c r="M268">
        <v>0</v>
      </c>
      <c r="N268">
        <v>0</v>
      </c>
      <c r="O268" t="s">
        <v>42</v>
      </c>
      <c r="P268" t="s">
        <v>180</v>
      </c>
      <c r="Q268" t="s">
        <v>40</v>
      </c>
      <c r="R268">
        <v>174632</v>
      </c>
      <c r="S268" t="s">
        <v>44</v>
      </c>
      <c r="T268">
        <v>265</v>
      </c>
      <c r="U268" t="s">
        <v>54</v>
      </c>
      <c r="V268">
        <v>0</v>
      </c>
      <c r="W268">
        <v>0</v>
      </c>
      <c r="X268" t="s">
        <v>200</v>
      </c>
      <c r="Y268" t="s">
        <v>40</v>
      </c>
      <c r="Z268" t="s">
        <v>40</v>
      </c>
      <c r="AA268" t="s">
        <v>40</v>
      </c>
      <c r="AB268" t="s">
        <v>40</v>
      </c>
      <c r="AC268" t="s">
        <v>40</v>
      </c>
      <c r="AD268" t="s">
        <v>40</v>
      </c>
      <c r="AE268" t="s">
        <v>40</v>
      </c>
      <c r="AF268" t="s">
        <v>40</v>
      </c>
      <c r="AG268" s="1">
        <v>44832</v>
      </c>
      <c r="AH268">
        <v>1535</v>
      </c>
      <c r="AI268" t="s">
        <v>40</v>
      </c>
      <c r="AJ268" t="s">
        <v>40</v>
      </c>
      <c r="AK268" t="s">
        <v>40</v>
      </c>
      <c r="AL268" t="s">
        <v>40</v>
      </c>
      <c r="AM268" t="s">
        <v>265</v>
      </c>
      <c r="AN268" t="s">
        <v>260</v>
      </c>
      <c r="AO268">
        <v>351</v>
      </c>
    </row>
    <row r="269" spans="1:41" x14ac:dyDescent="0.3">
      <c r="A269">
        <v>1058661</v>
      </c>
      <c r="B269" t="s">
        <v>226</v>
      </c>
      <c r="C269" t="str">
        <f>_xlfn.XLOOKUP(B269,Match!$A$2:$A$111,Match!$B$2:$B$111)</f>
        <v>Sarasota, FL</v>
      </c>
      <c r="D269" t="str">
        <f>_xlfn.XLOOKUP(C269,Validation!$B$2:$B$68,Validation!$A$2:$A$68)</f>
        <v>12115</v>
      </c>
      <c r="E269" t="s">
        <v>40</v>
      </c>
      <c r="F269" s="1">
        <v>44832</v>
      </c>
      <c r="G269">
        <v>1535</v>
      </c>
      <c r="H269" t="s">
        <v>190</v>
      </c>
      <c r="I269" t="s">
        <v>40</v>
      </c>
      <c r="J269" t="s">
        <v>40</v>
      </c>
      <c r="K269">
        <v>0</v>
      </c>
      <c r="L269">
        <v>0</v>
      </c>
      <c r="M269">
        <v>0</v>
      </c>
      <c r="N269">
        <v>0</v>
      </c>
      <c r="O269" t="s">
        <v>42</v>
      </c>
      <c r="P269" t="s">
        <v>180</v>
      </c>
      <c r="Q269" t="s">
        <v>40</v>
      </c>
      <c r="R269">
        <v>174632</v>
      </c>
      <c r="S269" t="s">
        <v>44</v>
      </c>
      <c r="T269">
        <v>260</v>
      </c>
      <c r="U269" t="s">
        <v>54</v>
      </c>
      <c r="V269">
        <v>0</v>
      </c>
      <c r="W269">
        <v>0</v>
      </c>
      <c r="X269" t="s">
        <v>200</v>
      </c>
      <c r="Y269" t="s">
        <v>40</v>
      </c>
      <c r="Z269" t="s">
        <v>40</v>
      </c>
      <c r="AA269" t="s">
        <v>40</v>
      </c>
      <c r="AB269" t="s">
        <v>40</v>
      </c>
      <c r="AC269" t="s">
        <v>40</v>
      </c>
      <c r="AD269" t="s">
        <v>40</v>
      </c>
      <c r="AE269" t="s">
        <v>40</v>
      </c>
      <c r="AF269" t="s">
        <v>40</v>
      </c>
      <c r="AG269" s="1">
        <v>44832</v>
      </c>
      <c r="AH269">
        <v>1535</v>
      </c>
      <c r="AI269" t="s">
        <v>40</v>
      </c>
      <c r="AJ269" t="s">
        <v>40</v>
      </c>
      <c r="AK269" t="s">
        <v>40</v>
      </c>
      <c r="AL269" t="s">
        <v>40</v>
      </c>
      <c r="AM269" t="s">
        <v>266</v>
      </c>
      <c r="AN269" t="s">
        <v>260</v>
      </c>
      <c r="AO269">
        <v>352</v>
      </c>
    </row>
    <row r="270" spans="1:41" x14ac:dyDescent="0.3">
      <c r="A270">
        <v>1058658</v>
      </c>
      <c r="B270" t="s">
        <v>231</v>
      </c>
      <c r="C270" t="str">
        <f>_xlfn.XLOOKUP(B270,Match!$A$2:$A$111,Match!$B$2:$B$111)</f>
        <v>Manatee, FL</v>
      </c>
      <c r="D270" t="str">
        <f>_xlfn.XLOOKUP(C270,Validation!$B$2:$B$68,Validation!$A$2:$A$68)</f>
        <v>12081</v>
      </c>
      <c r="E270" t="s">
        <v>40</v>
      </c>
      <c r="F270" s="1">
        <v>44832</v>
      </c>
      <c r="G270">
        <v>1535</v>
      </c>
      <c r="H270" t="s">
        <v>190</v>
      </c>
      <c r="I270" t="s">
        <v>40</v>
      </c>
      <c r="J270" t="s">
        <v>40</v>
      </c>
      <c r="K270">
        <v>4</v>
      </c>
      <c r="L270">
        <v>0</v>
      </c>
      <c r="M270">
        <v>1000000000</v>
      </c>
      <c r="N270">
        <v>0</v>
      </c>
      <c r="O270" t="s">
        <v>42</v>
      </c>
      <c r="P270" t="s">
        <v>180</v>
      </c>
      <c r="Q270" t="s">
        <v>40</v>
      </c>
      <c r="R270">
        <v>174632</v>
      </c>
      <c r="S270" t="s">
        <v>44</v>
      </c>
      <c r="T270">
        <v>155</v>
      </c>
      <c r="U270" t="s">
        <v>54</v>
      </c>
      <c r="V270">
        <v>0</v>
      </c>
      <c r="W270">
        <v>0</v>
      </c>
      <c r="X270" t="s">
        <v>200</v>
      </c>
      <c r="Y270" t="s">
        <v>40</v>
      </c>
      <c r="Z270" t="s">
        <v>40</v>
      </c>
      <c r="AA270" t="s">
        <v>40</v>
      </c>
      <c r="AB270" t="s">
        <v>40</v>
      </c>
      <c r="AC270" t="s">
        <v>40</v>
      </c>
      <c r="AD270" t="s">
        <v>40</v>
      </c>
      <c r="AE270" t="s">
        <v>40</v>
      </c>
      <c r="AF270" t="s">
        <v>40</v>
      </c>
      <c r="AG270" s="1">
        <v>44832</v>
      </c>
      <c r="AH270">
        <v>1535</v>
      </c>
      <c r="AI270" t="s">
        <v>40</v>
      </c>
      <c r="AJ270" t="s">
        <v>40</v>
      </c>
      <c r="AK270" t="s">
        <v>40</v>
      </c>
      <c r="AL270" t="s">
        <v>40</v>
      </c>
      <c r="AM270" t="s">
        <v>267</v>
      </c>
      <c r="AN270" t="s">
        <v>260</v>
      </c>
      <c r="AO270">
        <v>353</v>
      </c>
    </row>
    <row r="271" spans="1:41" x14ac:dyDescent="0.3">
      <c r="A271">
        <v>1058655</v>
      </c>
      <c r="B271" t="s">
        <v>222</v>
      </c>
      <c r="C271" t="str">
        <f>_xlfn.XLOOKUP(B271,Match!$A$2:$A$111,Match!$B$2:$B$111)</f>
        <v>Charlotte, FL</v>
      </c>
      <c r="D271" t="str">
        <f>_xlfn.XLOOKUP(C271,Validation!$B$2:$B$68,Validation!$A$2:$A$68)</f>
        <v>12015</v>
      </c>
      <c r="E271" t="s">
        <v>40</v>
      </c>
      <c r="F271" s="1">
        <v>44832</v>
      </c>
      <c r="G271">
        <v>1535</v>
      </c>
      <c r="H271" t="s">
        <v>190</v>
      </c>
      <c r="I271" t="s">
        <v>40</v>
      </c>
      <c r="J271" t="s">
        <v>40</v>
      </c>
      <c r="K271">
        <v>8</v>
      </c>
      <c r="L271">
        <v>0</v>
      </c>
      <c r="M271">
        <v>3000000000</v>
      </c>
      <c r="N271">
        <v>0</v>
      </c>
      <c r="O271" t="s">
        <v>42</v>
      </c>
      <c r="P271" t="s">
        <v>180</v>
      </c>
      <c r="Q271" t="s">
        <v>40</v>
      </c>
      <c r="R271">
        <v>174632</v>
      </c>
      <c r="S271" t="s">
        <v>44</v>
      </c>
      <c r="T271">
        <v>162</v>
      </c>
      <c r="U271" t="s">
        <v>54</v>
      </c>
      <c r="V271">
        <v>0</v>
      </c>
      <c r="W271">
        <v>0</v>
      </c>
      <c r="X271" t="s">
        <v>200</v>
      </c>
      <c r="Y271" t="s">
        <v>40</v>
      </c>
      <c r="Z271" t="s">
        <v>40</v>
      </c>
      <c r="AA271" t="s">
        <v>40</v>
      </c>
      <c r="AB271" t="s">
        <v>40</v>
      </c>
      <c r="AC271" t="s">
        <v>40</v>
      </c>
      <c r="AD271" t="s">
        <v>40</v>
      </c>
      <c r="AE271" t="s">
        <v>40</v>
      </c>
      <c r="AF271" t="s">
        <v>40</v>
      </c>
      <c r="AG271" s="1">
        <v>44832</v>
      </c>
      <c r="AH271">
        <v>1535</v>
      </c>
      <c r="AI271" t="s">
        <v>40</v>
      </c>
      <c r="AJ271" t="s">
        <v>40</v>
      </c>
      <c r="AK271" t="s">
        <v>40</v>
      </c>
      <c r="AL271" t="s">
        <v>40</v>
      </c>
      <c r="AM271" t="s">
        <v>268</v>
      </c>
      <c r="AN271" t="s">
        <v>260</v>
      </c>
      <c r="AO271">
        <v>354</v>
      </c>
    </row>
    <row r="272" spans="1:41" x14ac:dyDescent="0.3">
      <c r="A272">
        <v>1058664</v>
      </c>
      <c r="B272" t="s">
        <v>64</v>
      </c>
      <c r="C272" t="str">
        <f>_xlfn.XLOOKUP(B272,Match!$A$2:$A$111,Match!$B$2:$B$111)</f>
        <v>Hardee, FL</v>
      </c>
      <c r="D272" t="str">
        <f>_xlfn.XLOOKUP(C272,Validation!$B$2:$B$68,Validation!$A$2:$A$68)</f>
        <v>12049</v>
      </c>
      <c r="E272" t="s">
        <v>40</v>
      </c>
      <c r="F272" s="1">
        <v>44832</v>
      </c>
      <c r="G272">
        <v>1935</v>
      </c>
      <c r="H272" t="s">
        <v>190</v>
      </c>
      <c r="I272" t="s">
        <v>40</v>
      </c>
      <c r="J272" t="s">
        <v>40</v>
      </c>
      <c r="K272">
        <v>4</v>
      </c>
      <c r="L272">
        <v>0</v>
      </c>
      <c r="M272">
        <v>1000000</v>
      </c>
      <c r="N272">
        <v>0</v>
      </c>
      <c r="O272" t="s">
        <v>42</v>
      </c>
      <c r="P272" t="s">
        <v>180</v>
      </c>
      <c r="Q272" t="s">
        <v>40</v>
      </c>
      <c r="R272">
        <v>174632</v>
      </c>
      <c r="S272" t="s">
        <v>44</v>
      </c>
      <c r="T272">
        <v>56</v>
      </c>
      <c r="U272" t="s">
        <v>54</v>
      </c>
      <c r="V272">
        <v>0</v>
      </c>
      <c r="W272">
        <v>0</v>
      </c>
      <c r="X272" t="s">
        <v>200</v>
      </c>
      <c r="Y272" t="s">
        <v>40</v>
      </c>
      <c r="Z272" t="s">
        <v>40</v>
      </c>
      <c r="AA272" t="s">
        <v>40</v>
      </c>
      <c r="AB272" t="s">
        <v>40</v>
      </c>
      <c r="AC272" t="s">
        <v>40</v>
      </c>
      <c r="AD272" t="s">
        <v>40</v>
      </c>
      <c r="AE272" t="s">
        <v>40</v>
      </c>
      <c r="AF272" t="s">
        <v>40</v>
      </c>
      <c r="AG272" s="1">
        <v>44832</v>
      </c>
      <c r="AH272">
        <v>1935</v>
      </c>
      <c r="AI272" t="s">
        <v>40</v>
      </c>
      <c r="AJ272" t="s">
        <v>40</v>
      </c>
      <c r="AK272" t="s">
        <v>40</v>
      </c>
      <c r="AL272" t="s">
        <v>40</v>
      </c>
      <c r="AM272" t="s">
        <v>269</v>
      </c>
      <c r="AN272" t="s">
        <v>260</v>
      </c>
      <c r="AO272">
        <v>355</v>
      </c>
    </row>
    <row r="273" spans="1:41" x14ac:dyDescent="0.3">
      <c r="A273">
        <v>1058663</v>
      </c>
      <c r="B273" t="s">
        <v>53</v>
      </c>
      <c r="C273" t="str">
        <f>_xlfn.XLOOKUP(B273,Match!$A$2:$A$111,Match!$B$2:$B$111)</f>
        <v>DeSoto, FL</v>
      </c>
      <c r="D273" t="str">
        <f>_xlfn.XLOOKUP(C273,Validation!$B$2:$B$68,Validation!$A$2:$A$68)</f>
        <v>12027</v>
      </c>
      <c r="E273" t="s">
        <v>40</v>
      </c>
      <c r="F273" s="1">
        <v>44832</v>
      </c>
      <c r="G273">
        <v>1935</v>
      </c>
      <c r="H273" t="s">
        <v>190</v>
      </c>
      <c r="I273" t="s">
        <v>40</v>
      </c>
      <c r="J273" t="s">
        <v>40</v>
      </c>
      <c r="K273">
        <v>1</v>
      </c>
      <c r="L273">
        <v>0</v>
      </c>
      <c r="M273">
        <v>1000000</v>
      </c>
      <c r="N273">
        <v>0</v>
      </c>
      <c r="O273" t="s">
        <v>42</v>
      </c>
      <c r="P273" t="s">
        <v>180</v>
      </c>
      <c r="Q273" t="s">
        <v>40</v>
      </c>
      <c r="R273">
        <v>174632</v>
      </c>
      <c r="S273" t="s">
        <v>44</v>
      </c>
      <c r="T273">
        <v>61</v>
      </c>
      <c r="U273" t="s">
        <v>54</v>
      </c>
      <c r="V273">
        <v>0</v>
      </c>
      <c r="W273">
        <v>0</v>
      </c>
      <c r="X273" t="s">
        <v>200</v>
      </c>
      <c r="Y273" t="s">
        <v>40</v>
      </c>
      <c r="Z273" t="s">
        <v>40</v>
      </c>
      <c r="AA273" t="s">
        <v>40</v>
      </c>
      <c r="AB273" t="s">
        <v>40</v>
      </c>
      <c r="AC273" t="s">
        <v>40</v>
      </c>
      <c r="AD273" t="s">
        <v>40</v>
      </c>
      <c r="AE273" t="s">
        <v>40</v>
      </c>
      <c r="AF273" t="s">
        <v>40</v>
      </c>
      <c r="AG273" s="1">
        <v>44832</v>
      </c>
      <c r="AH273">
        <v>1935</v>
      </c>
      <c r="AI273" t="s">
        <v>40</v>
      </c>
      <c r="AJ273" t="s">
        <v>40</v>
      </c>
      <c r="AK273" t="s">
        <v>40</v>
      </c>
      <c r="AL273" t="s">
        <v>40</v>
      </c>
      <c r="AM273" t="s">
        <v>270</v>
      </c>
      <c r="AN273" t="s">
        <v>260</v>
      </c>
      <c r="AO273">
        <v>356</v>
      </c>
    </row>
    <row r="274" spans="1:41" x14ac:dyDescent="0.3">
      <c r="A274">
        <v>1067696</v>
      </c>
      <c r="B274" t="s">
        <v>271</v>
      </c>
      <c r="C274" t="str">
        <f>_xlfn.XLOOKUP(B274,Match!$A$2:$A$111,Match!$B$2:$B$111)</f>
        <v>Indian River, FL</v>
      </c>
      <c r="D274" t="str">
        <f>_xlfn.XLOOKUP(C274,Validation!$B$2:$B$68,Validation!$A$2:$A$68)</f>
        <v>12061</v>
      </c>
      <c r="E274" t="s">
        <v>40</v>
      </c>
      <c r="F274" s="1">
        <v>44874</v>
      </c>
      <c r="G274">
        <v>1700</v>
      </c>
      <c r="H274" t="s">
        <v>190</v>
      </c>
      <c r="I274" t="s">
        <v>40</v>
      </c>
      <c r="J274" t="s">
        <v>40</v>
      </c>
      <c r="K274">
        <v>0</v>
      </c>
      <c r="L274">
        <v>0</v>
      </c>
      <c r="M274">
        <v>0</v>
      </c>
      <c r="N274">
        <v>0</v>
      </c>
      <c r="O274" t="s">
        <v>42</v>
      </c>
      <c r="P274" t="s">
        <v>180</v>
      </c>
      <c r="Q274" t="s">
        <v>40</v>
      </c>
      <c r="R274">
        <v>175864</v>
      </c>
      <c r="S274" t="s">
        <v>44</v>
      </c>
      <c r="T274">
        <v>154</v>
      </c>
      <c r="U274" t="s">
        <v>66</v>
      </c>
      <c r="V274">
        <v>0</v>
      </c>
      <c r="W274">
        <v>0</v>
      </c>
      <c r="X274" t="s">
        <v>181</v>
      </c>
      <c r="Y274" t="s">
        <v>40</v>
      </c>
      <c r="Z274" t="s">
        <v>40</v>
      </c>
      <c r="AA274" t="s">
        <v>40</v>
      </c>
      <c r="AB274" t="s">
        <v>40</v>
      </c>
      <c r="AC274" t="s">
        <v>40</v>
      </c>
      <c r="AD274" t="s">
        <v>40</v>
      </c>
      <c r="AE274" t="s">
        <v>40</v>
      </c>
      <c r="AF274" t="s">
        <v>40</v>
      </c>
      <c r="AG274" s="1">
        <v>44875</v>
      </c>
      <c r="AH274">
        <v>1500</v>
      </c>
      <c r="AI274" t="s">
        <v>40</v>
      </c>
      <c r="AJ274" t="s">
        <v>40</v>
      </c>
      <c r="AK274" t="s">
        <v>40</v>
      </c>
      <c r="AL274" t="s">
        <v>40</v>
      </c>
      <c r="AM274" t="s">
        <v>272</v>
      </c>
      <c r="AN274" t="s">
        <v>273</v>
      </c>
      <c r="AO274">
        <v>357</v>
      </c>
    </row>
    <row r="275" spans="1:41" x14ac:dyDescent="0.3">
      <c r="A275">
        <v>1067697</v>
      </c>
      <c r="B275" t="s">
        <v>274</v>
      </c>
      <c r="C275" t="str">
        <f>_xlfn.XLOOKUP(B275,Match!$A$2:$A$111,Match!$B$2:$B$111)</f>
        <v>Indian River, FL</v>
      </c>
      <c r="D275" t="str">
        <f>_xlfn.XLOOKUP(C275,Validation!$B$2:$B$68,Validation!$A$2:$A$68)</f>
        <v>12061</v>
      </c>
      <c r="E275" t="s">
        <v>40</v>
      </c>
      <c r="F275" s="1">
        <v>44874</v>
      </c>
      <c r="G275">
        <v>1700</v>
      </c>
      <c r="H275" t="s">
        <v>190</v>
      </c>
      <c r="I275" t="s">
        <v>40</v>
      </c>
      <c r="J275" t="s">
        <v>40</v>
      </c>
      <c r="K275">
        <v>0</v>
      </c>
      <c r="L275">
        <v>0</v>
      </c>
      <c r="M275">
        <v>0</v>
      </c>
      <c r="N275">
        <v>0</v>
      </c>
      <c r="O275" t="s">
        <v>42</v>
      </c>
      <c r="P275" t="s">
        <v>180</v>
      </c>
      <c r="Q275" t="s">
        <v>40</v>
      </c>
      <c r="R275">
        <v>175864</v>
      </c>
      <c r="S275" t="s">
        <v>44</v>
      </c>
      <c r="T275">
        <v>254</v>
      </c>
      <c r="U275" t="s">
        <v>66</v>
      </c>
      <c r="V275">
        <v>0</v>
      </c>
      <c r="W275">
        <v>0</v>
      </c>
      <c r="X275" t="s">
        <v>181</v>
      </c>
      <c r="Y275" t="s">
        <v>40</v>
      </c>
      <c r="Z275" t="s">
        <v>40</v>
      </c>
      <c r="AA275" t="s">
        <v>40</v>
      </c>
      <c r="AB275" t="s">
        <v>40</v>
      </c>
      <c r="AC275" t="s">
        <v>40</v>
      </c>
      <c r="AD275" t="s">
        <v>40</v>
      </c>
      <c r="AE275" t="s">
        <v>40</v>
      </c>
      <c r="AF275" t="s">
        <v>40</v>
      </c>
      <c r="AG275" s="1">
        <v>44875</v>
      </c>
      <c r="AH275">
        <v>1500</v>
      </c>
      <c r="AI275" t="s">
        <v>40</v>
      </c>
      <c r="AJ275" t="s">
        <v>40</v>
      </c>
      <c r="AK275" t="s">
        <v>40</v>
      </c>
      <c r="AL275" t="s">
        <v>40</v>
      </c>
      <c r="AM275" t="s">
        <v>272</v>
      </c>
      <c r="AN275" t="s">
        <v>273</v>
      </c>
      <c r="AO275">
        <v>358</v>
      </c>
    </row>
    <row r="276" spans="1:41" x14ac:dyDescent="0.3">
      <c r="A276">
        <v>1067690</v>
      </c>
      <c r="B276" t="s">
        <v>275</v>
      </c>
      <c r="C276" t="str">
        <f>_xlfn.XLOOKUP(B276,Match!$A$2:$A$111,Match!$B$2:$B$111)</f>
        <v>Brevard, FL</v>
      </c>
      <c r="D276" t="str">
        <f>_xlfn.XLOOKUP(C276,Validation!$B$2:$B$68,Validation!$A$2:$A$68)</f>
        <v>12009</v>
      </c>
      <c r="E276" t="s">
        <v>40</v>
      </c>
      <c r="F276" s="1">
        <v>44874</v>
      </c>
      <c r="G276">
        <v>1900</v>
      </c>
      <c r="H276" t="s">
        <v>190</v>
      </c>
      <c r="I276" t="s">
        <v>40</v>
      </c>
      <c r="J276" t="s">
        <v>40</v>
      </c>
      <c r="K276">
        <v>0</v>
      </c>
      <c r="L276">
        <v>0</v>
      </c>
      <c r="M276">
        <v>0</v>
      </c>
      <c r="N276">
        <v>0</v>
      </c>
      <c r="O276" t="s">
        <v>42</v>
      </c>
      <c r="P276" t="s">
        <v>180</v>
      </c>
      <c r="Q276" t="s">
        <v>40</v>
      </c>
      <c r="R276">
        <v>175864</v>
      </c>
      <c r="S276" t="s">
        <v>44</v>
      </c>
      <c r="T276">
        <v>447</v>
      </c>
      <c r="U276" t="s">
        <v>66</v>
      </c>
      <c r="V276">
        <v>0</v>
      </c>
      <c r="W276">
        <v>0</v>
      </c>
      <c r="X276" t="s">
        <v>181</v>
      </c>
      <c r="Y276" t="s">
        <v>40</v>
      </c>
      <c r="Z276" t="s">
        <v>40</v>
      </c>
      <c r="AA276" t="s">
        <v>40</v>
      </c>
      <c r="AB276" t="s">
        <v>40</v>
      </c>
      <c r="AC276" t="s">
        <v>40</v>
      </c>
      <c r="AD276" t="s">
        <v>40</v>
      </c>
      <c r="AE276" t="s">
        <v>40</v>
      </c>
      <c r="AF276" t="s">
        <v>40</v>
      </c>
      <c r="AG276" s="1">
        <v>44875</v>
      </c>
      <c r="AH276">
        <v>1700</v>
      </c>
      <c r="AI276" t="s">
        <v>40</v>
      </c>
      <c r="AJ276" t="s">
        <v>40</v>
      </c>
      <c r="AK276" t="s">
        <v>40</v>
      </c>
      <c r="AL276" t="s">
        <v>40</v>
      </c>
      <c r="AM276" t="s">
        <v>276</v>
      </c>
      <c r="AN276" t="s">
        <v>273</v>
      </c>
      <c r="AO276">
        <v>359</v>
      </c>
    </row>
    <row r="277" spans="1:41" x14ac:dyDescent="0.3">
      <c r="A277">
        <v>1067695</v>
      </c>
      <c r="B277" t="s">
        <v>277</v>
      </c>
      <c r="C277" t="str">
        <f>_xlfn.XLOOKUP(B277,Match!$A$2:$A$111,Match!$B$2:$B$111)</f>
        <v>Brevard, FL</v>
      </c>
      <c r="D277" t="str">
        <f>_xlfn.XLOOKUP(C277,Validation!$B$2:$B$68,Validation!$A$2:$A$68)</f>
        <v>12009</v>
      </c>
      <c r="E277" t="s">
        <v>40</v>
      </c>
      <c r="F277" s="1">
        <v>44874</v>
      </c>
      <c r="G277">
        <v>1900</v>
      </c>
      <c r="H277" t="s">
        <v>190</v>
      </c>
      <c r="I277" t="s">
        <v>40</v>
      </c>
      <c r="J277" t="s">
        <v>40</v>
      </c>
      <c r="K277">
        <v>0</v>
      </c>
      <c r="L277">
        <v>0</v>
      </c>
      <c r="M277">
        <v>0</v>
      </c>
      <c r="N277">
        <v>0</v>
      </c>
      <c r="O277" t="s">
        <v>42</v>
      </c>
      <c r="P277" t="s">
        <v>180</v>
      </c>
      <c r="Q277" t="s">
        <v>40</v>
      </c>
      <c r="R277">
        <v>175864</v>
      </c>
      <c r="S277" t="s">
        <v>44</v>
      </c>
      <c r="T277">
        <v>647</v>
      </c>
      <c r="U277" t="s">
        <v>66</v>
      </c>
      <c r="V277">
        <v>0</v>
      </c>
      <c r="W277">
        <v>0</v>
      </c>
      <c r="X277" t="s">
        <v>181</v>
      </c>
      <c r="Y277" t="s">
        <v>40</v>
      </c>
      <c r="Z277" t="s">
        <v>40</v>
      </c>
      <c r="AA277" t="s">
        <v>40</v>
      </c>
      <c r="AB277" t="s">
        <v>40</v>
      </c>
      <c r="AC277" t="s">
        <v>40</v>
      </c>
      <c r="AD277" t="s">
        <v>40</v>
      </c>
      <c r="AE277" t="s">
        <v>40</v>
      </c>
      <c r="AF277" t="s">
        <v>40</v>
      </c>
      <c r="AG277" s="1">
        <v>44875</v>
      </c>
      <c r="AH277">
        <v>1700</v>
      </c>
      <c r="AI277" t="s">
        <v>40</v>
      </c>
      <c r="AJ277" t="s">
        <v>40</v>
      </c>
      <c r="AK277" t="s">
        <v>40</v>
      </c>
      <c r="AL277" t="s">
        <v>40</v>
      </c>
      <c r="AM277" t="s">
        <v>276</v>
      </c>
      <c r="AN277" t="s">
        <v>273</v>
      </c>
      <c r="AO277">
        <v>360</v>
      </c>
    </row>
    <row r="278" spans="1:41" x14ac:dyDescent="0.3">
      <c r="A278">
        <v>1067691</v>
      </c>
      <c r="B278" t="s">
        <v>278</v>
      </c>
      <c r="C278" t="str">
        <f>_xlfn.XLOOKUP(B278,Match!$A$2:$A$111,Match!$B$2:$B$111)</f>
        <v>Brevard, FL</v>
      </c>
      <c r="D278" t="str">
        <f>_xlfn.XLOOKUP(C278,Validation!$B$2:$B$68,Validation!$A$2:$A$68)</f>
        <v>12009</v>
      </c>
      <c r="E278" t="s">
        <v>40</v>
      </c>
      <c r="F278" s="1">
        <v>44874</v>
      </c>
      <c r="G278">
        <v>1900</v>
      </c>
      <c r="H278" t="s">
        <v>190</v>
      </c>
      <c r="I278" t="s">
        <v>40</v>
      </c>
      <c r="J278" t="s">
        <v>40</v>
      </c>
      <c r="K278">
        <v>0</v>
      </c>
      <c r="L278">
        <v>0</v>
      </c>
      <c r="M278">
        <v>0</v>
      </c>
      <c r="N278">
        <v>0</v>
      </c>
      <c r="O278" t="s">
        <v>42</v>
      </c>
      <c r="P278" t="s">
        <v>180</v>
      </c>
      <c r="Q278" t="s">
        <v>40</v>
      </c>
      <c r="R278">
        <v>175864</v>
      </c>
      <c r="S278" t="s">
        <v>44</v>
      </c>
      <c r="T278">
        <v>247</v>
      </c>
      <c r="U278" t="s">
        <v>66</v>
      </c>
      <c r="V278">
        <v>0</v>
      </c>
      <c r="W278">
        <v>0</v>
      </c>
      <c r="X278" t="s">
        <v>181</v>
      </c>
      <c r="Y278" t="s">
        <v>40</v>
      </c>
      <c r="Z278" t="s">
        <v>40</v>
      </c>
      <c r="AA278" t="s">
        <v>40</v>
      </c>
      <c r="AB278" t="s">
        <v>40</v>
      </c>
      <c r="AC278" t="s">
        <v>40</v>
      </c>
      <c r="AD278" t="s">
        <v>40</v>
      </c>
      <c r="AE278" t="s">
        <v>40</v>
      </c>
      <c r="AF278" t="s">
        <v>40</v>
      </c>
      <c r="AG278" s="1">
        <v>44875</v>
      </c>
      <c r="AH278">
        <v>1700</v>
      </c>
      <c r="AI278" t="s">
        <v>40</v>
      </c>
      <c r="AJ278" t="s">
        <v>40</v>
      </c>
      <c r="AK278" t="s">
        <v>40</v>
      </c>
      <c r="AL278" t="s">
        <v>40</v>
      </c>
      <c r="AM278" t="s">
        <v>276</v>
      </c>
      <c r="AN278" t="s">
        <v>273</v>
      </c>
      <c r="AO278">
        <v>361</v>
      </c>
    </row>
    <row r="279" spans="1:41" x14ac:dyDescent="0.3">
      <c r="A279">
        <v>1067692</v>
      </c>
      <c r="B279" t="s">
        <v>279</v>
      </c>
      <c r="C279" t="str">
        <f>_xlfn.XLOOKUP(B279,Match!$A$2:$A$111,Match!$B$2:$B$111)</f>
        <v>Brevard, FL</v>
      </c>
      <c r="D279" t="str">
        <f>_xlfn.XLOOKUP(C279,Validation!$B$2:$B$68,Validation!$A$2:$A$68)</f>
        <v>12009</v>
      </c>
      <c r="E279" t="s">
        <v>40</v>
      </c>
      <c r="F279" s="1">
        <v>44874</v>
      </c>
      <c r="G279">
        <v>1900</v>
      </c>
      <c r="H279" t="s">
        <v>190</v>
      </c>
      <c r="I279" t="s">
        <v>40</v>
      </c>
      <c r="J279" t="s">
        <v>40</v>
      </c>
      <c r="K279">
        <v>0</v>
      </c>
      <c r="L279">
        <v>0</v>
      </c>
      <c r="M279">
        <v>0</v>
      </c>
      <c r="N279">
        <v>0</v>
      </c>
      <c r="O279" t="s">
        <v>42</v>
      </c>
      <c r="P279" t="s">
        <v>180</v>
      </c>
      <c r="Q279" t="s">
        <v>40</v>
      </c>
      <c r="R279">
        <v>175864</v>
      </c>
      <c r="S279" t="s">
        <v>44</v>
      </c>
      <c r="T279">
        <v>347</v>
      </c>
      <c r="U279" t="s">
        <v>66</v>
      </c>
      <c r="V279">
        <v>0</v>
      </c>
      <c r="W279">
        <v>0</v>
      </c>
      <c r="X279" t="s">
        <v>181</v>
      </c>
      <c r="Y279" t="s">
        <v>40</v>
      </c>
      <c r="Z279" t="s">
        <v>40</v>
      </c>
      <c r="AA279" t="s">
        <v>40</v>
      </c>
      <c r="AB279" t="s">
        <v>40</v>
      </c>
      <c r="AC279" t="s">
        <v>40</v>
      </c>
      <c r="AD279" t="s">
        <v>40</v>
      </c>
      <c r="AE279" t="s">
        <v>40</v>
      </c>
      <c r="AF279" t="s">
        <v>40</v>
      </c>
      <c r="AG279" s="1">
        <v>44875</v>
      </c>
      <c r="AH279">
        <v>1700</v>
      </c>
      <c r="AI279" t="s">
        <v>40</v>
      </c>
      <c r="AJ279" t="s">
        <v>40</v>
      </c>
      <c r="AK279" t="s">
        <v>40</v>
      </c>
      <c r="AL279" t="s">
        <v>40</v>
      </c>
      <c r="AM279" t="s">
        <v>276</v>
      </c>
      <c r="AN279" t="s">
        <v>273</v>
      </c>
      <c r="AO279">
        <v>362</v>
      </c>
    </row>
    <row r="280" spans="1:41" x14ac:dyDescent="0.3">
      <c r="A280">
        <v>1067693</v>
      </c>
      <c r="B280" t="s">
        <v>280</v>
      </c>
      <c r="C280" t="str">
        <f>_xlfn.XLOOKUP(B280,Match!$A$2:$A$111,Match!$B$2:$B$111)</f>
        <v>Brevard, FL</v>
      </c>
      <c r="D280" t="str">
        <f>_xlfn.XLOOKUP(C280,Validation!$B$2:$B$68,Validation!$A$2:$A$68)</f>
        <v>12009</v>
      </c>
      <c r="E280" t="s">
        <v>40</v>
      </c>
      <c r="F280" s="1">
        <v>44874</v>
      </c>
      <c r="G280">
        <v>1900</v>
      </c>
      <c r="H280" t="s">
        <v>190</v>
      </c>
      <c r="I280" t="s">
        <v>40</v>
      </c>
      <c r="J280" t="s">
        <v>40</v>
      </c>
      <c r="K280">
        <v>0</v>
      </c>
      <c r="L280">
        <v>0</v>
      </c>
      <c r="M280">
        <v>0</v>
      </c>
      <c r="N280">
        <v>0</v>
      </c>
      <c r="O280" t="s">
        <v>42</v>
      </c>
      <c r="P280" t="s">
        <v>180</v>
      </c>
      <c r="Q280" t="s">
        <v>40</v>
      </c>
      <c r="R280">
        <v>175864</v>
      </c>
      <c r="S280" t="s">
        <v>44</v>
      </c>
      <c r="T280">
        <v>747</v>
      </c>
      <c r="U280" t="s">
        <v>66</v>
      </c>
      <c r="V280">
        <v>0</v>
      </c>
      <c r="W280">
        <v>0</v>
      </c>
      <c r="X280" t="s">
        <v>181</v>
      </c>
      <c r="Y280" t="s">
        <v>40</v>
      </c>
      <c r="Z280" t="s">
        <v>40</v>
      </c>
      <c r="AA280" t="s">
        <v>40</v>
      </c>
      <c r="AB280" t="s">
        <v>40</v>
      </c>
      <c r="AC280" t="s">
        <v>40</v>
      </c>
      <c r="AD280" t="s">
        <v>40</v>
      </c>
      <c r="AE280" t="s">
        <v>40</v>
      </c>
      <c r="AF280" t="s">
        <v>40</v>
      </c>
      <c r="AG280" s="1">
        <v>44875</v>
      </c>
      <c r="AH280">
        <v>1700</v>
      </c>
      <c r="AI280" t="s">
        <v>40</v>
      </c>
      <c r="AJ280" t="s">
        <v>40</v>
      </c>
      <c r="AK280" t="s">
        <v>40</v>
      </c>
      <c r="AL280" t="s">
        <v>40</v>
      </c>
      <c r="AM280" t="s">
        <v>276</v>
      </c>
      <c r="AN280" t="s">
        <v>273</v>
      </c>
      <c r="AO280">
        <v>363</v>
      </c>
    </row>
    <row r="281" spans="1:41" x14ac:dyDescent="0.3">
      <c r="A281">
        <v>1067694</v>
      </c>
      <c r="B281" t="s">
        <v>281</v>
      </c>
      <c r="C281" t="str">
        <f>_xlfn.XLOOKUP(B281,Match!$A$2:$A$111,Match!$B$2:$B$111)</f>
        <v>Brevard, FL</v>
      </c>
      <c r="D281" t="str">
        <f>_xlfn.XLOOKUP(C281,Validation!$B$2:$B$68,Validation!$A$2:$A$68)</f>
        <v>12009</v>
      </c>
      <c r="E281" t="s">
        <v>40</v>
      </c>
      <c r="F281" s="1">
        <v>44874</v>
      </c>
      <c r="G281">
        <v>1900</v>
      </c>
      <c r="H281" t="s">
        <v>190</v>
      </c>
      <c r="I281" t="s">
        <v>40</v>
      </c>
      <c r="J281" t="s">
        <v>40</v>
      </c>
      <c r="K281">
        <v>0</v>
      </c>
      <c r="L281">
        <v>0</v>
      </c>
      <c r="M281">
        <v>0</v>
      </c>
      <c r="N281">
        <v>0</v>
      </c>
      <c r="O281" t="s">
        <v>42</v>
      </c>
      <c r="P281" t="s">
        <v>180</v>
      </c>
      <c r="Q281" t="s">
        <v>40</v>
      </c>
      <c r="R281">
        <v>175864</v>
      </c>
      <c r="S281" t="s">
        <v>44</v>
      </c>
      <c r="T281">
        <v>547</v>
      </c>
      <c r="U281" t="s">
        <v>66</v>
      </c>
      <c r="V281">
        <v>0</v>
      </c>
      <c r="W281">
        <v>0</v>
      </c>
      <c r="X281" t="s">
        <v>181</v>
      </c>
      <c r="Y281" t="s">
        <v>40</v>
      </c>
      <c r="Z281" t="s">
        <v>40</v>
      </c>
      <c r="AA281" t="s">
        <v>40</v>
      </c>
      <c r="AB281" t="s">
        <v>40</v>
      </c>
      <c r="AC281" t="s">
        <v>40</v>
      </c>
      <c r="AD281" t="s">
        <v>40</v>
      </c>
      <c r="AE281" t="s">
        <v>40</v>
      </c>
      <c r="AF281" t="s">
        <v>40</v>
      </c>
      <c r="AG281" s="1">
        <v>44875</v>
      </c>
      <c r="AH281">
        <v>1700</v>
      </c>
      <c r="AI281" t="s">
        <v>40</v>
      </c>
      <c r="AJ281" t="s">
        <v>40</v>
      </c>
      <c r="AK281" t="s">
        <v>40</v>
      </c>
      <c r="AL281" t="s">
        <v>40</v>
      </c>
      <c r="AM281" t="s">
        <v>276</v>
      </c>
      <c r="AN281" t="s">
        <v>273</v>
      </c>
      <c r="AO281">
        <v>364</v>
      </c>
    </row>
    <row r="282" spans="1:41" x14ac:dyDescent="0.3">
      <c r="A282">
        <v>1131846</v>
      </c>
      <c r="B282" t="s">
        <v>188</v>
      </c>
      <c r="C282" t="str">
        <f>_xlfn.XLOOKUP(B282,Match!$A$2:$A$111,Match!$B$2:$B$111)</f>
        <v>Taylor, FL</v>
      </c>
      <c r="D282" t="str">
        <f>_xlfn.XLOOKUP(C282,Validation!$B$2:$B$68,Validation!$A$2:$A$68)</f>
        <v>12123</v>
      </c>
      <c r="E282" t="s">
        <v>40</v>
      </c>
      <c r="F282" s="1">
        <v>45168</v>
      </c>
      <c r="G282">
        <v>445</v>
      </c>
      <c r="H282" t="s">
        <v>190</v>
      </c>
      <c r="I282" t="s">
        <v>40</v>
      </c>
      <c r="J282" t="s">
        <v>40</v>
      </c>
      <c r="K282">
        <v>0</v>
      </c>
      <c r="L282">
        <v>0</v>
      </c>
      <c r="M282">
        <v>7500000</v>
      </c>
      <c r="N282">
        <v>0</v>
      </c>
      <c r="O282" t="s">
        <v>42</v>
      </c>
      <c r="P282" t="s">
        <v>180</v>
      </c>
      <c r="Q282" t="s">
        <v>40</v>
      </c>
      <c r="R282">
        <v>184689</v>
      </c>
      <c r="S282" t="s">
        <v>44</v>
      </c>
      <c r="T282">
        <v>128</v>
      </c>
      <c r="U282" t="s">
        <v>106</v>
      </c>
      <c r="V282">
        <v>0</v>
      </c>
      <c r="W282">
        <v>0</v>
      </c>
      <c r="X282" t="s">
        <v>200</v>
      </c>
      <c r="Y282" t="s">
        <v>40</v>
      </c>
      <c r="Z282" t="s">
        <v>40</v>
      </c>
      <c r="AA282" t="s">
        <v>40</v>
      </c>
      <c r="AB282" t="s">
        <v>40</v>
      </c>
      <c r="AC282" t="s">
        <v>40</v>
      </c>
      <c r="AD282" t="s">
        <v>40</v>
      </c>
      <c r="AE282" t="s">
        <v>40</v>
      </c>
      <c r="AF282" t="s">
        <v>40</v>
      </c>
      <c r="AG282" s="1">
        <v>45168</v>
      </c>
      <c r="AH282">
        <v>800</v>
      </c>
      <c r="AI282" t="s">
        <v>40</v>
      </c>
      <c r="AJ282" t="s">
        <v>40</v>
      </c>
      <c r="AK282" t="s">
        <v>40</v>
      </c>
      <c r="AL282" t="s">
        <v>40</v>
      </c>
      <c r="AM282" t="s">
        <v>282</v>
      </c>
      <c r="AN282" t="s">
        <v>283</v>
      </c>
      <c r="AO282">
        <v>365</v>
      </c>
    </row>
    <row r="283" spans="1:41" x14ac:dyDescent="0.3">
      <c r="A283">
        <v>1131848</v>
      </c>
      <c r="B283" t="s">
        <v>284</v>
      </c>
      <c r="C283" t="str">
        <f>_xlfn.XLOOKUP(B283,Match!$A$2:$A$111,Match!$B$2:$B$111)</f>
        <v>Dixie, FL</v>
      </c>
      <c r="D283" t="str">
        <f>_xlfn.XLOOKUP(C283,Validation!$B$2:$B$68,Validation!$A$2:$A$68)</f>
        <v>12029</v>
      </c>
      <c r="E283" t="s">
        <v>40</v>
      </c>
      <c r="F283" s="1">
        <v>45168</v>
      </c>
      <c r="G283">
        <v>445</v>
      </c>
      <c r="H283" t="s">
        <v>190</v>
      </c>
      <c r="I283" t="s">
        <v>40</v>
      </c>
      <c r="J283" t="s">
        <v>40</v>
      </c>
      <c r="K283">
        <v>0</v>
      </c>
      <c r="L283">
        <v>0</v>
      </c>
      <c r="M283">
        <v>2500000</v>
      </c>
      <c r="N283">
        <v>0</v>
      </c>
      <c r="O283" t="s">
        <v>42</v>
      </c>
      <c r="P283" t="s">
        <v>180</v>
      </c>
      <c r="Q283" t="s">
        <v>40</v>
      </c>
      <c r="R283">
        <v>184689</v>
      </c>
      <c r="S283" t="s">
        <v>44</v>
      </c>
      <c r="T283">
        <v>134</v>
      </c>
      <c r="U283" t="s">
        <v>106</v>
      </c>
      <c r="V283">
        <v>0</v>
      </c>
      <c r="W283">
        <v>0</v>
      </c>
      <c r="X283" t="s">
        <v>200</v>
      </c>
      <c r="Y283" t="s">
        <v>40</v>
      </c>
      <c r="Z283" t="s">
        <v>40</v>
      </c>
      <c r="AA283" t="s">
        <v>40</v>
      </c>
      <c r="AB283" t="s">
        <v>40</v>
      </c>
      <c r="AC283" t="s">
        <v>40</v>
      </c>
      <c r="AD283" t="s">
        <v>40</v>
      </c>
      <c r="AE283" t="s">
        <v>40</v>
      </c>
      <c r="AF283" t="s">
        <v>40</v>
      </c>
      <c r="AG283" s="1">
        <v>45168</v>
      </c>
      <c r="AH283">
        <v>800</v>
      </c>
      <c r="AI283" t="s">
        <v>40</v>
      </c>
      <c r="AJ283" t="s">
        <v>40</v>
      </c>
      <c r="AK283" t="s">
        <v>40</v>
      </c>
      <c r="AL283" t="s">
        <v>40</v>
      </c>
      <c r="AM283" t="s">
        <v>285</v>
      </c>
      <c r="AN283" t="s">
        <v>283</v>
      </c>
      <c r="AO283">
        <v>366</v>
      </c>
    </row>
    <row r="284" spans="1:41" x14ac:dyDescent="0.3">
      <c r="A284">
        <v>1131847</v>
      </c>
      <c r="B284" t="s">
        <v>189</v>
      </c>
      <c r="C284" t="str">
        <f>_xlfn.XLOOKUP(B284,Match!$A$2:$A$111,Match!$B$2:$B$111)</f>
        <v>Taylor, FL</v>
      </c>
      <c r="D284" t="str">
        <f>_xlfn.XLOOKUP(C284,Validation!$B$2:$B$68,Validation!$A$2:$A$68)</f>
        <v>12123</v>
      </c>
      <c r="E284" t="s">
        <v>40</v>
      </c>
      <c r="F284" s="1">
        <v>45168</v>
      </c>
      <c r="G284">
        <v>445</v>
      </c>
      <c r="H284" t="s">
        <v>190</v>
      </c>
      <c r="I284" t="s">
        <v>40</v>
      </c>
      <c r="J284" t="s">
        <v>40</v>
      </c>
      <c r="K284">
        <v>0</v>
      </c>
      <c r="L284">
        <v>0</v>
      </c>
      <c r="M284">
        <v>7500000</v>
      </c>
      <c r="N284">
        <v>67500000</v>
      </c>
      <c r="O284" t="s">
        <v>42</v>
      </c>
      <c r="P284" t="s">
        <v>180</v>
      </c>
      <c r="Q284" t="s">
        <v>40</v>
      </c>
      <c r="R284">
        <v>184689</v>
      </c>
      <c r="S284" t="s">
        <v>44</v>
      </c>
      <c r="T284">
        <v>28</v>
      </c>
      <c r="U284" t="s">
        <v>106</v>
      </c>
      <c r="V284">
        <v>0</v>
      </c>
      <c r="W284">
        <v>0</v>
      </c>
      <c r="X284" t="s">
        <v>200</v>
      </c>
      <c r="Y284" t="s">
        <v>40</v>
      </c>
      <c r="Z284" t="s">
        <v>40</v>
      </c>
      <c r="AA284" t="s">
        <v>40</v>
      </c>
      <c r="AB284" t="s">
        <v>40</v>
      </c>
      <c r="AC284" t="s">
        <v>40</v>
      </c>
      <c r="AD284" t="s">
        <v>40</v>
      </c>
      <c r="AE284" t="s">
        <v>40</v>
      </c>
      <c r="AF284" t="s">
        <v>40</v>
      </c>
      <c r="AG284" s="1">
        <v>45168</v>
      </c>
      <c r="AH284">
        <v>900</v>
      </c>
      <c r="AI284" t="s">
        <v>40</v>
      </c>
      <c r="AJ284" t="s">
        <v>40</v>
      </c>
      <c r="AK284" t="s">
        <v>40</v>
      </c>
      <c r="AL284" t="s">
        <v>40</v>
      </c>
      <c r="AM284" t="s">
        <v>282</v>
      </c>
      <c r="AN284" t="s">
        <v>283</v>
      </c>
      <c r="AO284">
        <v>367</v>
      </c>
    </row>
    <row r="285" spans="1:41" x14ac:dyDescent="0.3">
      <c r="A285">
        <v>1131849</v>
      </c>
      <c r="B285" t="s">
        <v>286</v>
      </c>
      <c r="C285" t="str">
        <f>_xlfn.XLOOKUP(B285,Match!$A$2:$A$111,Match!$B$2:$B$111)</f>
        <v>Dixie, FL</v>
      </c>
      <c r="D285" t="str">
        <f>_xlfn.XLOOKUP(C285,Validation!$B$2:$B$68,Validation!$A$2:$A$68)</f>
        <v>12029</v>
      </c>
      <c r="E285" t="s">
        <v>40</v>
      </c>
      <c r="F285" s="1">
        <v>45168</v>
      </c>
      <c r="G285">
        <v>445</v>
      </c>
      <c r="H285" t="s">
        <v>190</v>
      </c>
      <c r="I285" t="s">
        <v>40</v>
      </c>
      <c r="J285" t="s">
        <v>40</v>
      </c>
      <c r="K285">
        <v>0</v>
      </c>
      <c r="L285">
        <v>0</v>
      </c>
      <c r="M285">
        <v>2500000</v>
      </c>
      <c r="N285">
        <v>67500000</v>
      </c>
      <c r="O285" t="s">
        <v>42</v>
      </c>
      <c r="P285" t="s">
        <v>180</v>
      </c>
      <c r="Q285" t="s">
        <v>40</v>
      </c>
      <c r="R285">
        <v>184689</v>
      </c>
      <c r="S285" t="s">
        <v>44</v>
      </c>
      <c r="T285">
        <v>34</v>
      </c>
      <c r="U285" t="s">
        <v>106</v>
      </c>
      <c r="V285">
        <v>0</v>
      </c>
      <c r="W285">
        <v>0</v>
      </c>
      <c r="X285" t="s">
        <v>200</v>
      </c>
      <c r="Y285" t="s">
        <v>40</v>
      </c>
      <c r="Z285" t="s">
        <v>40</v>
      </c>
      <c r="AA285" t="s">
        <v>40</v>
      </c>
      <c r="AB285" t="s">
        <v>40</v>
      </c>
      <c r="AC285" t="s">
        <v>40</v>
      </c>
      <c r="AD285" t="s">
        <v>40</v>
      </c>
      <c r="AE285" t="s">
        <v>40</v>
      </c>
      <c r="AF285" t="s">
        <v>40</v>
      </c>
      <c r="AG285" s="1">
        <v>45168</v>
      </c>
      <c r="AH285">
        <v>800</v>
      </c>
      <c r="AI285" t="s">
        <v>40</v>
      </c>
      <c r="AJ285" t="s">
        <v>40</v>
      </c>
      <c r="AK285" t="s">
        <v>40</v>
      </c>
      <c r="AL285" t="s">
        <v>40</v>
      </c>
      <c r="AM285" t="s">
        <v>285</v>
      </c>
      <c r="AN285" t="s">
        <v>283</v>
      </c>
      <c r="AO285">
        <v>368</v>
      </c>
    </row>
    <row r="286" spans="1:41" x14ac:dyDescent="0.3">
      <c r="A286">
        <v>1127287</v>
      </c>
      <c r="B286" t="s">
        <v>287</v>
      </c>
      <c r="C286" t="str">
        <f>_xlfn.XLOOKUP(B286,Match!$A$2:$A$111,Match!$B$2:$B$111)</f>
        <v>Suwannee, FL</v>
      </c>
      <c r="D286" t="str">
        <f>_xlfn.XLOOKUP(C286,Validation!$B$2:$B$68,Validation!$A$2:$A$68)</f>
        <v>12121</v>
      </c>
      <c r="E286" t="s">
        <v>40</v>
      </c>
      <c r="F286" s="1">
        <v>45168</v>
      </c>
      <c r="G286">
        <v>600</v>
      </c>
      <c r="H286" t="s">
        <v>190</v>
      </c>
      <c r="I286" t="s">
        <v>40</v>
      </c>
      <c r="J286" t="s">
        <v>40</v>
      </c>
      <c r="K286">
        <v>0</v>
      </c>
      <c r="L286">
        <v>0</v>
      </c>
      <c r="M286">
        <v>0</v>
      </c>
      <c r="N286">
        <v>0</v>
      </c>
      <c r="O286" t="s">
        <v>42</v>
      </c>
      <c r="P286" t="s">
        <v>180</v>
      </c>
      <c r="Q286" t="s">
        <v>40</v>
      </c>
      <c r="R286">
        <v>184040</v>
      </c>
      <c r="S286" t="s">
        <v>44</v>
      </c>
      <c r="T286">
        <v>21</v>
      </c>
      <c r="U286" t="s">
        <v>75</v>
      </c>
      <c r="V286">
        <v>0</v>
      </c>
      <c r="W286">
        <v>0</v>
      </c>
      <c r="X286" t="s">
        <v>181</v>
      </c>
      <c r="Y286" t="s">
        <v>40</v>
      </c>
      <c r="Z286" t="s">
        <v>40</v>
      </c>
      <c r="AA286" t="s">
        <v>40</v>
      </c>
      <c r="AB286" t="s">
        <v>40</v>
      </c>
      <c r="AC286" t="s">
        <v>40</v>
      </c>
      <c r="AD286" t="s">
        <v>40</v>
      </c>
      <c r="AE286" t="s">
        <v>40</v>
      </c>
      <c r="AF286" t="s">
        <v>40</v>
      </c>
      <c r="AG286" s="1">
        <v>45168</v>
      </c>
      <c r="AH286">
        <v>2200</v>
      </c>
      <c r="AI286" t="s">
        <v>40</v>
      </c>
      <c r="AJ286" t="s">
        <v>40</v>
      </c>
      <c r="AK286" t="s">
        <v>40</v>
      </c>
      <c r="AL286" t="s">
        <v>40</v>
      </c>
      <c r="AM286" t="s">
        <v>288</v>
      </c>
      <c r="AN286" t="s">
        <v>289</v>
      </c>
      <c r="AO286">
        <v>369</v>
      </c>
    </row>
    <row r="287" spans="1:41" x14ac:dyDescent="0.3">
      <c r="A287">
        <v>1126933</v>
      </c>
      <c r="B287" t="s">
        <v>290</v>
      </c>
      <c r="C287" t="str">
        <f>_xlfn.XLOOKUP(B287,Match!$A$2:$A$111,Match!$B$2:$B$111)</f>
        <v>Hamilton, FL</v>
      </c>
      <c r="D287" t="str">
        <f>_xlfn.XLOOKUP(C287,Validation!$B$2:$B$68,Validation!$A$2:$A$68)</f>
        <v>12047</v>
      </c>
      <c r="E287" t="s">
        <v>40</v>
      </c>
      <c r="F287" s="1">
        <v>45168</v>
      </c>
      <c r="G287">
        <v>600</v>
      </c>
      <c r="H287" t="s">
        <v>190</v>
      </c>
      <c r="I287" t="s">
        <v>40</v>
      </c>
      <c r="J287" t="s">
        <v>40</v>
      </c>
      <c r="K287">
        <v>0</v>
      </c>
      <c r="L287">
        <v>0</v>
      </c>
      <c r="M287">
        <v>0</v>
      </c>
      <c r="N287">
        <v>0</v>
      </c>
      <c r="O287" t="s">
        <v>42</v>
      </c>
      <c r="P287" t="s">
        <v>180</v>
      </c>
      <c r="Q287" t="s">
        <v>40</v>
      </c>
      <c r="R287">
        <v>184040</v>
      </c>
      <c r="S287" t="s">
        <v>44</v>
      </c>
      <c r="T287">
        <v>20</v>
      </c>
      <c r="U287" t="s">
        <v>75</v>
      </c>
      <c r="V287">
        <v>1</v>
      </c>
      <c r="W287">
        <v>0</v>
      </c>
      <c r="X287" t="s">
        <v>181</v>
      </c>
      <c r="Y287" t="s">
        <v>40</v>
      </c>
      <c r="Z287" t="s">
        <v>40</v>
      </c>
      <c r="AA287" t="s">
        <v>40</v>
      </c>
      <c r="AB287" t="s">
        <v>40</v>
      </c>
      <c r="AC287" t="s">
        <v>40</v>
      </c>
      <c r="AD287" t="s">
        <v>40</v>
      </c>
      <c r="AE287" t="s">
        <v>40</v>
      </c>
      <c r="AF287" t="s">
        <v>40</v>
      </c>
      <c r="AG287" s="1">
        <v>45168</v>
      </c>
      <c r="AH287">
        <v>2200</v>
      </c>
      <c r="AI287" t="s">
        <v>40</v>
      </c>
      <c r="AJ287" t="s">
        <v>40</v>
      </c>
      <c r="AK287" t="s">
        <v>40</v>
      </c>
      <c r="AL287" t="s">
        <v>40</v>
      </c>
      <c r="AM287" t="s">
        <v>291</v>
      </c>
      <c r="AN287" t="s">
        <v>289</v>
      </c>
      <c r="AO287">
        <v>370</v>
      </c>
    </row>
    <row r="288" spans="1:41" x14ac:dyDescent="0.3">
      <c r="A288">
        <v>1131852</v>
      </c>
      <c r="B288" t="s">
        <v>111</v>
      </c>
      <c r="C288" t="str">
        <f>_xlfn.XLOOKUP(B288,Match!$A$2:$A$111,Match!$B$2:$B$111)</f>
        <v>Lafayette, FL</v>
      </c>
      <c r="D288" t="str">
        <f>_xlfn.XLOOKUP(C288,Validation!$B$2:$B$68,Validation!$A$2:$A$68)</f>
        <v>12067</v>
      </c>
      <c r="E288" t="s">
        <v>40</v>
      </c>
      <c r="F288" s="1">
        <v>45168</v>
      </c>
      <c r="G288">
        <v>700</v>
      </c>
      <c r="H288" t="s">
        <v>190</v>
      </c>
      <c r="I288" t="s">
        <v>40</v>
      </c>
      <c r="J288" t="s">
        <v>40</v>
      </c>
      <c r="K288">
        <v>0</v>
      </c>
      <c r="L288">
        <v>0</v>
      </c>
      <c r="M288">
        <v>7500000</v>
      </c>
      <c r="N288">
        <v>67500000</v>
      </c>
      <c r="O288" t="s">
        <v>42</v>
      </c>
      <c r="P288" t="s">
        <v>180</v>
      </c>
      <c r="Q288" t="s">
        <v>40</v>
      </c>
      <c r="R288">
        <v>184689</v>
      </c>
      <c r="S288" t="s">
        <v>44</v>
      </c>
      <c r="T288">
        <v>29</v>
      </c>
      <c r="U288" t="s">
        <v>106</v>
      </c>
      <c r="V288">
        <v>0</v>
      </c>
      <c r="W288">
        <v>0</v>
      </c>
      <c r="X288" t="s">
        <v>200</v>
      </c>
      <c r="Y288" t="s">
        <v>40</v>
      </c>
      <c r="Z288" t="s">
        <v>40</v>
      </c>
      <c r="AA288" t="s">
        <v>40</v>
      </c>
      <c r="AB288" t="s">
        <v>40</v>
      </c>
      <c r="AC288" t="s">
        <v>40</v>
      </c>
      <c r="AD288" t="s">
        <v>40</v>
      </c>
      <c r="AE288" t="s">
        <v>40</v>
      </c>
      <c r="AF288" t="s">
        <v>40</v>
      </c>
      <c r="AG288" s="1">
        <v>45168</v>
      </c>
      <c r="AH288">
        <v>900</v>
      </c>
      <c r="AI288" t="s">
        <v>40</v>
      </c>
      <c r="AJ288" t="s">
        <v>40</v>
      </c>
      <c r="AK288" t="s">
        <v>40</v>
      </c>
      <c r="AL288" t="s">
        <v>40</v>
      </c>
      <c r="AM288" t="s">
        <v>292</v>
      </c>
      <c r="AN288" t="s">
        <v>283</v>
      </c>
      <c r="AO288">
        <v>371</v>
      </c>
    </row>
    <row r="289" spans="1:41" x14ac:dyDescent="0.3">
      <c r="A289">
        <v>1131853</v>
      </c>
      <c r="B289" t="s">
        <v>114</v>
      </c>
      <c r="C289" t="str">
        <f>_xlfn.XLOOKUP(B289,Match!$A$2:$A$111,Match!$B$2:$B$111)</f>
        <v>Madison, FL</v>
      </c>
      <c r="D289" t="str">
        <f>_xlfn.XLOOKUP(C289,Validation!$B$2:$B$68,Validation!$A$2:$A$68)</f>
        <v>12079</v>
      </c>
      <c r="E289" t="s">
        <v>40</v>
      </c>
      <c r="F289" s="1">
        <v>45168</v>
      </c>
      <c r="G289">
        <v>800</v>
      </c>
      <c r="H289" t="s">
        <v>190</v>
      </c>
      <c r="I289" t="s">
        <v>40</v>
      </c>
      <c r="J289" t="s">
        <v>40</v>
      </c>
      <c r="K289">
        <v>0</v>
      </c>
      <c r="L289">
        <v>0</v>
      </c>
      <c r="M289">
        <v>10000000</v>
      </c>
      <c r="N289">
        <v>67500000</v>
      </c>
      <c r="O289" t="s">
        <v>42</v>
      </c>
      <c r="P289" t="s">
        <v>180</v>
      </c>
      <c r="Q289" t="s">
        <v>40</v>
      </c>
      <c r="R289">
        <v>184689</v>
      </c>
      <c r="S289" t="s">
        <v>44</v>
      </c>
      <c r="T289">
        <v>19</v>
      </c>
      <c r="U289" t="s">
        <v>106</v>
      </c>
      <c r="V289">
        <v>0</v>
      </c>
      <c r="W289">
        <v>0</v>
      </c>
      <c r="X289" t="s">
        <v>200</v>
      </c>
      <c r="Y289" t="s">
        <v>40</v>
      </c>
      <c r="Z289" t="s">
        <v>40</v>
      </c>
      <c r="AA289" t="s">
        <v>40</v>
      </c>
      <c r="AB289" t="s">
        <v>40</v>
      </c>
      <c r="AC289" t="s">
        <v>40</v>
      </c>
      <c r="AD289" t="s">
        <v>40</v>
      </c>
      <c r="AE289" t="s">
        <v>40</v>
      </c>
      <c r="AF289" t="s">
        <v>40</v>
      </c>
      <c r="AG289" s="1">
        <v>45168</v>
      </c>
      <c r="AH289">
        <v>1000</v>
      </c>
      <c r="AI289" t="s">
        <v>40</v>
      </c>
      <c r="AJ289" t="s">
        <v>40</v>
      </c>
      <c r="AK289" t="s">
        <v>40</v>
      </c>
      <c r="AL289" t="s">
        <v>40</v>
      </c>
      <c r="AM289" t="s">
        <v>293</v>
      </c>
      <c r="AN289" t="s">
        <v>283</v>
      </c>
      <c r="AO289">
        <v>372</v>
      </c>
    </row>
    <row r="290" spans="1:41" x14ac:dyDescent="0.3">
      <c r="A290">
        <v>1197228</v>
      </c>
      <c r="B290" t="s">
        <v>284</v>
      </c>
      <c r="C290" t="str">
        <f>_xlfn.XLOOKUP(B290,Match!$A$2:$A$111,Match!$B$2:$B$111)</f>
        <v>Dixie, FL</v>
      </c>
      <c r="D290" t="str">
        <f>_xlfn.XLOOKUP(C290,Validation!$B$2:$B$68,Validation!$A$2:$A$68)</f>
        <v>12029</v>
      </c>
      <c r="E290" t="s">
        <v>40</v>
      </c>
      <c r="F290" s="1">
        <v>45509</v>
      </c>
      <c r="G290">
        <v>100</v>
      </c>
      <c r="H290" t="s">
        <v>190</v>
      </c>
      <c r="I290" t="s">
        <v>40</v>
      </c>
      <c r="J290" t="s">
        <v>40</v>
      </c>
      <c r="K290">
        <v>0</v>
      </c>
      <c r="L290">
        <v>0</v>
      </c>
      <c r="M290">
        <v>1000000</v>
      </c>
      <c r="N290">
        <v>0</v>
      </c>
      <c r="O290" t="s">
        <v>42</v>
      </c>
      <c r="P290" t="s">
        <v>180</v>
      </c>
      <c r="Q290" t="s">
        <v>40</v>
      </c>
      <c r="R290">
        <v>193050</v>
      </c>
      <c r="S290" t="s">
        <v>44</v>
      </c>
      <c r="T290">
        <v>134</v>
      </c>
      <c r="U290" t="s">
        <v>106</v>
      </c>
      <c r="V290">
        <v>0</v>
      </c>
      <c r="W290">
        <v>0</v>
      </c>
      <c r="X290" t="s">
        <v>200</v>
      </c>
      <c r="Y290" t="s">
        <v>40</v>
      </c>
      <c r="Z290" t="s">
        <v>40</v>
      </c>
      <c r="AA290" t="s">
        <v>40</v>
      </c>
      <c r="AB290" t="s">
        <v>40</v>
      </c>
      <c r="AC290" t="s">
        <v>40</v>
      </c>
      <c r="AD290" t="s">
        <v>40</v>
      </c>
      <c r="AE290" t="s">
        <v>40</v>
      </c>
      <c r="AF290" t="s">
        <v>40</v>
      </c>
      <c r="AG290" s="1">
        <v>45509</v>
      </c>
      <c r="AH290">
        <v>1000</v>
      </c>
      <c r="AI290" t="s">
        <v>40</v>
      </c>
      <c r="AJ290" t="s">
        <v>40</v>
      </c>
      <c r="AK290" t="s">
        <v>40</v>
      </c>
      <c r="AL290" t="s">
        <v>40</v>
      </c>
      <c r="AM290" t="s">
        <v>294</v>
      </c>
      <c r="AN290" t="s">
        <v>295</v>
      </c>
      <c r="AO290">
        <v>373</v>
      </c>
    </row>
    <row r="291" spans="1:41" x14ac:dyDescent="0.3">
      <c r="A291">
        <v>1197233</v>
      </c>
      <c r="B291" t="s">
        <v>111</v>
      </c>
      <c r="C291" t="str">
        <f>_xlfn.XLOOKUP(B291,Match!$A$2:$A$111,Match!$B$2:$B$111)</f>
        <v>Lafayette, FL</v>
      </c>
      <c r="D291" t="str">
        <f>_xlfn.XLOOKUP(C291,Validation!$B$2:$B$68,Validation!$A$2:$A$68)</f>
        <v>12067</v>
      </c>
      <c r="E291" t="s">
        <v>40</v>
      </c>
      <c r="F291" s="1">
        <v>45509</v>
      </c>
      <c r="G291">
        <v>100</v>
      </c>
      <c r="H291" t="s">
        <v>190</v>
      </c>
      <c r="I291" t="s">
        <v>40</v>
      </c>
      <c r="J291" t="s">
        <v>40</v>
      </c>
      <c r="K291">
        <v>0</v>
      </c>
      <c r="L291">
        <v>0</v>
      </c>
      <c r="M291">
        <v>5000000</v>
      </c>
      <c r="N291">
        <v>50000000</v>
      </c>
      <c r="O291" t="s">
        <v>42</v>
      </c>
      <c r="P291" t="s">
        <v>180</v>
      </c>
      <c r="Q291" t="s">
        <v>40</v>
      </c>
      <c r="R291">
        <v>193050</v>
      </c>
      <c r="S291" t="s">
        <v>44</v>
      </c>
      <c r="T291">
        <v>29</v>
      </c>
      <c r="U291" t="s">
        <v>106</v>
      </c>
      <c r="V291">
        <v>0</v>
      </c>
      <c r="W291">
        <v>0</v>
      </c>
      <c r="X291" t="s">
        <v>200</v>
      </c>
      <c r="Y291" t="s">
        <v>40</v>
      </c>
      <c r="Z291" t="s">
        <v>40</v>
      </c>
      <c r="AA291" t="s">
        <v>40</v>
      </c>
      <c r="AB291" t="s">
        <v>40</v>
      </c>
      <c r="AC291" t="s">
        <v>40</v>
      </c>
      <c r="AD291" t="s">
        <v>40</v>
      </c>
      <c r="AE291" t="s">
        <v>40</v>
      </c>
      <c r="AF291" t="s">
        <v>40</v>
      </c>
      <c r="AG291" s="1">
        <v>45509</v>
      </c>
      <c r="AH291">
        <v>1000</v>
      </c>
      <c r="AI291" t="s">
        <v>40</v>
      </c>
      <c r="AJ291" t="s">
        <v>40</v>
      </c>
      <c r="AK291" t="s">
        <v>40</v>
      </c>
      <c r="AL291" t="s">
        <v>40</v>
      </c>
      <c r="AM291" t="s">
        <v>296</v>
      </c>
      <c r="AN291" t="s">
        <v>295</v>
      </c>
      <c r="AO291">
        <v>374</v>
      </c>
    </row>
    <row r="292" spans="1:41" x14ac:dyDescent="0.3">
      <c r="A292">
        <v>1197234</v>
      </c>
      <c r="B292" t="s">
        <v>114</v>
      </c>
      <c r="C292" t="str">
        <f>_xlfn.XLOOKUP(B292,Match!$A$2:$A$111,Match!$B$2:$B$111)</f>
        <v>Madison, FL</v>
      </c>
      <c r="D292" t="str">
        <f>_xlfn.XLOOKUP(C292,Validation!$B$2:$B$68,Validation!$A$2:$A$68)</f>
        <v>12079</v>
      </c>
      <c r="E292" t="s">
        <v>40</v>
      </c>
      <c r="F292" s="1">
        <v>45509</v>
      </c>
      <c r="G292">
        <v>100</v>
      </c>
      <c r="H292" t="s">
        <v>190</v>
      </c>
      <c r="I292" t="s">
        <v>40</v>
      </c>
      <c r="J292" t="s">
        <v>40</v>
      </c>
      <c r="K292">
        <v>0</v>
      </c>
      <c r="L292">
        <v>0</v>
      </c>
      <c r="M292">
        <v>15000000</v>
      </c>
      <c r="N292">
        <v>10000000</v>
      </c>
      <c r="O292" t="s">
        <v>42</v>
      </c>
      <c r="P292" t="s">
        <v>180</v>
      </c>
      <c r="Q292" t="s">
        <v>40</v>
      </c>
      <c r="R292">
        <v>193050</v>
      </c>
      <c r="S292" t="s">
        <v>44</v>
      </c>
      <c r="T292">
        <v>19</v>
      </c>
      <c r="U292" t="s">
        <v>106</v>
      </c>
      <c r="V292">
        <v>0</v>
      </c>
      <c r="W292">
        <v>0</v>
      </c>
      <c r="X292" t="s">
        <v>200</v>
      </c>
      <c r="Y292" t="s">
        <v>40</v>
      </c>
      <c r="Z292" t="s">
        <v>40</v>
      </c>
      <c r="AA292" t="s">
        <v>40</v>
      </c>
      <c r="AB292" t="s">
        <v>40</v>
      </c>
      <c r="AC292" t="s">
        <v>40</v>
      </c>
      <c r="AD292" t="s">
        <v>40</v>
      </c>
      <c r="AE292" t="s">
        <v>40</v>
      </c>
      <c r="AF292" t="s">
        <v>40</v>
      </c>
      <c r="AG292" s="1">
        <v>45509</v>
      </c>
      <c r="AH292">
        <v>1000</v>
      </c>
      <c r="AI292" t="s">
        <v>40</v>
      </c>
      <c r="AJ292" t="s">
        <v>40</v>
      </c>
      <c r="AK292" t="s">
        <v>40</v>
      </c>
      <c r="AL292" t="s">
        <v>40</v>
      </c>
      <c r="AM292" t="s">
        <v>297</v>
      </c>
      <c r="AN292" t="s">
        <v>295</v>
      </c>
      <c r="AO292">
        <v>375</v>
      </c>
    </row>
    <row r="293" spans="1:41" x14ac:dyDescent="0.3">
      <c r="A293">
        <v>1197231</v>
      </c>
      <c r="B293" t="s">
        <v>189</v>
      </c>
      <c r="C293" t="str">
        <f>_xlfn.XLOOKUP(B293,Match!$A$2:$A$111,Match!$B$2:$B$111)</f>
        <v>Taylor, FL</v>
      </c>
      <c r="D293" t="str">
        <f>_xlfn.XLOOKUP(C293,Validation!$B$2:$B$68,Validation!$A$2:$A$68)</f>
        <v>12123</v>
      </c>
      <c r="E293" t="s">
        <v>40</v>
      </c>
      <c r="F293" s="1">
        <v>45509</v>
      </c>
      <c r="G293">
        <v>100</v>
      </c>
      <c r="H293" t="s">
        <v>190</v>
      </c>
      <c r="I293" t="s">
        <v>40</v>
      </c>
      <c r="J293" t="s">
        <v>40</v>
      </c>
      <c r="K293">
        <v>0</v>
      </c>
      <c r="L293">
        <v>0</v>
      </c>
      <c r="M293">
        <v>6660000</v>
      </c>
      <c r="N293">
        <v>20000000</v>
      </c>
      <c r="O293" t="s">
        <v>42</v>
      </c>
      <c r="P293" t="s">
        <v>180</v>
      </c>
      <c r="Q293" t="s">
        <v>40</v>
      </c>
      <c r="R293">
        <v>193050</v>
      </c>
      <c r="S293" t="s">
        <v>44</v>
      </c>
      <c r="T293">
        <v>28</v>
      </c>
      <c r="U293" t="s">
        <v>106</v>
      </c>
      <c r="V293">
        <v>0</v>
      </c>
      <c r="W293">
        <v>0</v>
      </c>
      <c r="X293" t="s">
        <v>200</v>
      </c>
      <c r="Y293" t="s">
        <v>40</v>
      </c>
      <c r="Z293" t="s">
        <v>40</v>
      </c>
      <c r="AA293" t="s">
        <v>40</v>
      </c>
      <c r="AB293" t="s">
        <v>40</v>
      </c>
      <c r="AC293" t="s">
        <v>40</v>
      </c>
      <c r="AD293" t="s">
        <v>40</v>
      </c>
      <c r="AE293" t="s">
        <v>40</v>
      </c>
      <c r="AF293" t="s">
        <v>40</v>
      </c>
      <c r="AG293" s="1">
        <v>45509</v>
      </c>
      <c r="AH293">
        <v>1000</v>
      </c>
      <c r="AI293" t="s">
        <v>40</v>
      </c>
      <c r="AJ293" t="s">
        <v>40</v>
      </c>
      <c r="AK293" t="s">
        <v>40</v>
      </c>
      <c r="AL293" t="s">
        <v>40</v>
      </c>
      <c r="AM293" t="s">
        <v>298</v>
      </c>
      <c r="AN293" t="s">
        <v>295</v>
      </c>
      <c r="AO293">
        <v>376</v>
      </c>
    </row>
    <row r="294" spans="1:41" x14ac:dyDescent="0.3">
      <c r="A294">
        <v>1197229</v>
      </c>
      <c r="B294" t="s">
        <v>286</v>
      </c>
      <c r="C294" t="str">
        <f>_xlfn.XLOOKUP(B294,Match!$A$2:$A$111,Match!$B$2:$B$111)</f>
        <v>Dixie, FL</v>
      </c>
      <c r="D294" t="str">
        <f>_xlfn.XLOOKUP(C294,Validation!$B$2:$B$68,Validation!$A$2:$A$68)</f>
        <v>12029</v>
      </c>
      <c r="E294" t="s">
        <v>40</v>
      </c>
      <c r="F294" s="1">
        <v>45509</v>
      </c>
      <c r="G294">
        <v>100</v>
      </c>
      <c r="H294" t="s">
        <v>190</v>
      </c>
      <c r="I294" t="s">
        <v>40</v>
      </c>
      <c r="J294" t="s">
        <v>40</v>
      </c>
      <c r="K294">
        <v>1</v>
      </c>
      <c r="L294">
        <v>0</v>
      </c>
      <c r="M294">
        <v>5000000</v>
      </c>
      <c r="N294">
        <v>30000000</v>
      </c>
      <c r="O294" t="s">
        <v>42</v>
      </c>
      <c r="P294" t="s">
        <v>180</v>
      </c>
      <c r="Q294" t="s">
        <v>40</v>
      </c>
      <c r="R294">
        <v>193050</v>
      </c>
      <c r="S294" t="s">
        <v>44</v>
      </c>
      <c r="T294">
        <v>34</v>
      </c>
      <c r="U294" t="s">
        <v>106</v>
      </c>
      <c r="V294">
        <v>0</v>
      </c>
      <c r="W294">
        <v>2</v>
      </c>
      <c r="X294" t="s">
        <v>200</v>
      </c>
      <c r="Y294" t="s">
        <v>40</v>
      </c>
      <c r="Z294" t="s">
        <v>40</v>
      </c>
      <c r="AA294" t="s">
        <v>40</v>
      </c>
      <c r="AB294" t="s">
        <v>40</v>
      </c>
      <c r="AC294" t="s">
        <v>40</v>
      </c>
      <c r="AD294" t="s">
        <v>40</v>
      </c>
      <c r="AE294" t="s">
        <v>40</v>
      </c>
      <c r="AF294" t="s">
        <v>40</v>
      </c>
      <c r="AG294" s="1">
        <v>45509</v>
      </c>
      <c r="AH294">
        <v>1000</v>
      </c>
      <c r="AI294" t="s">
        <v>40</v>
      </c>
      <c r="AJ294" t="s">
        <v>40</v>
      </c>
      <c r="AK294" t="s">
        <v>40</v>
      </c>
      <c r="AL294" t="s">
        <v>40</v>
      </c>
      <c r="AM294" t="s">
        <v>299</v>
      </c>
      <c r="AN294" t="s">
        <v>295</v>
      </c>
      <c r="AO294">
        <v>377</v>
      </c>
    </row>
    <row r="295" spans="1:41" x14ac:dyDescent="0.3">
      <c r="A295">
        <v>1197232</v>
      </c>
      <c r="B295" t="s">
        <v>188</v>
      </c>
      <c r="C295" t="str">
        <f>_xlfn.XLOOKUP(B295,Match!$A$2:$A$111,Match!$B$2:$B$111)</f>
        <v>Taylor, FL</v>
      </c>
      <c r="D295" t="str">
        <f>_xlfn.XLOOKUP(C295,Validation!$B$2:$B$68,Validation!$A$2:$A$68)</f>
        <v>12123</v>
      </c>
      <c r="E295" t="s">
        <v>40</v>
      </c>
      <c r="F295" s="1">
        <v>45509</v>
      </c>
      <c r="G295">
        <v>100</v>
      </c>
      <c r="H295" t="s">
        <v>190</v>
      </c>
      <c r="I295" t="s">
        <v>40</v>
      </c>
      <c r="J295" t="s">
        <v>40</v>
      </c>
      <c r="K295">
        <v>0</v>
      </c>
      <c r="L295">
        <v>0</v>
      </c>
      <c r="M295">
        <v>0</v>
      </c>
      <c r="N295">
        <v>0</v>
      </c>
      <c r="O295" t="s">
        <v>42</v>
      </c>
      <c r="P295" t="s">
        <v>180</v>
      </c>
      <c r="Q295" t="s">
        <v>40</v>
      </c>
      <c r="R295">
        <v>193050</v>
      </c>
      <c r="S295" t="s">
        <v>44</v>
      </c>
      <c r="T295">
        <v>128</v>
      </c>
      <c r="U295" t="s">
        <v>106</v>
      </c>
      <c r="V295">
        <v>0</v>
      </c>
      <c r="W295">
        <v>0</v>
      </c>
      <c r="X295" t="s">
        <v>200</v>
      </c>
      <c r="Y295" t="s">
        <v>40</v>
      </c>
      <c r="Z295" t="s">
        <v>40</v>
      </c>
      <c r="AA295" t="s">
        <v>40</v>
      </c>
      <c r="AB295" t="s">
        <v>40</v>
      </c>
      <c r="AC295" t="s">
        <v>40</v>
      </c>
      <c r="AD295" t="s">
        <v>40</v>
      </c>
      <c r="AE295" t="s">
        <v>40</v>
      </c>
      <c r="AF295" t="s">
        <v>40</v>
      </c>
      <c r="AG295" s="1">
        <v>45509</v>
      </c>
      <c r="AH295">
        <v>1000</v>
      </c>
      <c r="AI295" t="s">
        <v>40</v>
      </c>
      <c r="AJ295" t="s">
        <v>40</v>
      </c>
      <c r="AK295" t="s">
        <v>40</v>
      </c>
      <c r="AL295" t="s">
        <v>40</v>
      </c>
      <c r="AN295" t="s">
        <v>295</v>
      </c>
      <c r="AO295">
        <v>378</v>
      </c>
    </row>
    <row r="296" spans="1:41" x14ac:dyDescent="0.3">
      <c r="A296">
        <v>1217490</v>
      </c>
      <c r="B296" t="s">
        <v>300</v>
      </c>
      <c r="C296" t="str">
        <f>_xlfn.XLOOKUP(B296,Match!$A$2:$A$111,Match!$B$2:$B$111)</f>
        <v>Gilchrist, FL</v>
      </c>
      <c r="D296" t="str">
        <f>_xlfn.XLOOKUP(C296,Validation!$B$2:$B$68,Validation!$A$2:$A$68)</f>
        <v>12041</v>
      </c>
      <c r="E296" t="s">
        <v>40</v>
      </c>
      <c r="F296" s="1">
        <v>45561</v>
      </c>
      <c r="G296">
        <v>1100</v>
      </c>
      <c r="H296" t="s">
        <v>190</v>
      </c>
      <c r="I296" t="s">
        <v>40</v>
      </c>
      <c r="J296" t="s">
        <v>40</v>
      </c>
      <c r="K296">
        <v>0</v>
      </c>
      <c r="L296">
        <v>0</v>
      </c>
      <c r="M296">
        <v>0</v>
      </c>
      <c r="N296">
        <v>0</v>
      </c>
      <c r="O296" t="s">
        <v>42</v>
      </c>
      <c r="P296" t="s">
        <v>180</v>
      </c>
      <c r="Q296" t="s">
        <v>40</v>
      </c>
      <c r="R296">
        <v>196050</v>
      </c>
      <c r="S296" t="s">
        <v>44</v>
      </c>
      <c r="T296">
        <v>35</v>
      </c>
      <c r="U296" t="s">
        <v>75</v>
      </c>
      <c r="V296">
        <v>0</v>
      </c>
      <c r="W296">
        <v>0</v>
      </c>
      <c r="X296" t="s">
        <v>181</v>
      </c>
      <c r="Y296" t="s">
        <v>40</v>
      </c>
      <c r="Z296" t="s">
        <v>40</v>
      </c>
      <c r="AA296" t="s">
        <v>40</v>
      </c>
      <c r="AB296" t="s">
        <v>40</v>
      </c>
      <c r="AC296" t="s">
        <v>40</v>
      </c>
      <c r="AD296" t="s">
        <v>40</v>
      </c>
      <c r="AE296" t="s">
        <v>40</v>
      </c>
      <c r="AF296" t="s">
        <v>40</v>
      </c>
      <c r="AG296" s="1">
        <v>45562</v>
      </c>
      <c r="AH296">
        <v>1100</v>
      </c>
      <c r="AI296" t="s">
        <v>40</v>
      </c>
      <c r="AJ296" t="s">
        <v>40</v>
      </c>
      <c r="AK296" t="s">
        <v>40</v>
      </c>
      <c r="AL296" t="s">
        <v>40</v>
      </c>
      <c r="AM296" t="s">
        <v>301</v>
      </c>
      <c r="AN296" t="s">
        <v>302</v>
      </c>
      <c r="AO296">
        <v>379</v>
      </c>
    </row>
    <row r="297" spans="1:41" x14ac:dyDescent="0.3">
      <c r="A297">
        <v>1217458</v>
      </c>
      <c r="B297" t="s">
        <v>303</v>
      </c>
      <c r="C297" t="str">
        <f>_xlfn.XLOOKUP(B297,Match!$A$2:$A$111,Match!$B$2:$B$111)</f>
        <v>Columbia, FL</v>
      </c>
      <c r="D297" t="str">
        <f>_xlfn.XLOOKUP(C297,Validation!$B$2:$B$68,Validation!$A$2:$A$68)</f>
        <v>12023</v>
      </c>
      <c r="E297" t="s">
        <v>40</v>
      </c>
      <c r="F297" s="1">
        <v>45561</v>
      </c>
      <c r="G297">
        <v>1100</v>
      </c>
      <c r="H297" t="s">
        <v>190</v>
      </c>
      <c r="I297" t="s">
        <v>40</v>
      </c>
      <c r="J297" t="s">
        <v>40</v>
      </c>
      <c r="K297">
        <v>0</v>
      </c>
      <c r="L297">
        <v>0</v>
      </c>
      <c r="M297">
        <v>0</v>
      </c>
      <c r="N297">
        <v>0</v>
      </c>
      <c r="O297" t="s">
        <v>42</v>
      </c>
      <c r="P297" t="s">
        <v>180</v>
      </c>
      <c r="Q297" t="s">
        <v>40</v>
      </c>
      <c r="R297">
        <v>196050</v>
      </c>
      <c r="S297" t="s">
        <v>44</v>
      </c>
      <c r="T297">
        <v>522</v>
      </c>
      <c r="U297" t="s">
        <v>75</v>
      </c>
      <c r="V297">
        <v>0</v>
      </c>
      <c r="W297">
        <v>0</v>
      </c>
      <c r="X297" t="s">
        <v>181</v>
      </c>
      <c r="Y297" t="s">
        <v>40</v>
      </c>
      <c r="Z297" t="s">
        <v>40</v>
      </c>
      <c r="AA297" t="s">
        <v>40</v>
      </c>
      <c r="AB297" t="s">
        <v>40</v>
      </c>
      <c r="AC297" t="s">
        <v>40</v>
      </c>
      <c r="AD297" t="s">
        <v>40</v>
      </c>
      <c r="AE297" t="s">
        <v>40</v>
      </c>
      <c r="AF297" t="s">
        <v>40</v>
      </c>
      <c r="AG297" s="1">
        <v>45562</v>
      </c>
      <c r="AH297">
        <v>1100</v>
      </c>
      <c r="AI297" t="s">
        <v>40</v>
      </c>
      <c r="AJ297" t="s">
        <v>40</v>
      </c>
      <c r="AK297" t="s">
        <v>40</v>
      </c>
      <c r="AL297" t="s">
        <v>40</v>
      </c>
      <c r="AM297" t="s">
        <v>304</v>
      </c>
      <c r="AN297" t="s">
        <v>302</v>
      </c>
      <c r="AO297">
        <v>380</v>
      </c>
    </row>
    <row r="298" spans="1:41" x14ac:dyDescent="0.3">
      <c r="A298">
        <v>1217522</v>
      </c>
      <c r="B298" t="s">
        <v>287</v>
      </c>
      <c r="C298" t="str">
        <f>_xlfn.XLOOKUP(B298,Match!$A$2:$A$111,Match!$B$2:$B$111)</f>
        <v>Suwannee, FL</v>
      </c>
      <c r="D298" t="str">
        <f>_xlfn.XLOOKUP(C298,Validation!$B$2:$B$68,Validation!$A$2:$A$68)</f>
        <v>12121</v>
      </c>
      <c r="E298" t="s">
        <v>40</v>
      </c>
      <c r="F298" s="1">
        <v>45561</v>
      </c>
      <c r="G298">
        <v>1100</v>
      </c>
      <c r="H298" t="s">
        <v>190</v>
      </c>
      <c r="I298" t="s">
        <v>40</v>
      </c>
      <c r="J298" t="s">
        <v>40</v>
      </c>
      <c r="K298">
        <v>0</v>
      </c>
      <c r="L298">
        <v>0</v>
      </c>
      <c r="M298">
        <v>0</v>
      </c>
      <c r="N298">
        <v>0</v>
      </c>
      <c r="O298" t="s">
        <v>42</v>
      </c>
      <c r="P298" t="s">
        <v>180</v>
      </c>
      <c r="Q298" t="s">
        <v>40</v>
      </c>
      <c r="R298">
        <v>196050</v>
      </c>
      <c r="S298" t="s">
        <v>44</v>
      </c>
      <c r="T298">
        <v>21</v>
      </c>
      <c r="U298" t="s">
        <v>75</v>
      </c>
      <c r="V298">
        <v>0</v>
      </c>
      <c r="W298">
        <v>0</v>
      </c>
      <c r="X298" t="s">
        <v>181</v>
      </c>
      <c r="Y298" t="s">
        <v>40</v>
      </c>
      <c r="Z298" t="s">
        <v>40</v>
      </c>
      <c r="AA298" t="s">
        <v>40</v>
      </c>
      <c r="AB298" t="s">
        <v>40</v>
      </c>
      <c r="AC298" t="s">
        <v>40</v>
      </c>
      <c r="AD298" t="s">
        <v>40</v>
      </c>
      <c r="AE298" t="s">
        <v>40</v>
      </c>
      <c r="AF298" t="s">
        <v>40</v>
      </c>
      <c r="AG298" s="1">
        <v>45562</v>
      </c>
      <c r="AH298">
        <v>1100</v>
      </c>
      <c r="AI298" t="s">
        <v>40</v>
      </c>
      <c r="AJ298" t="s">
        <v>40</v>
      </c>
      <c r="AK298" t="s">
        <v>40</v>
      </c>
      <c r="AL298" t="s">
        <v>40</v>
      </c>
      <c r="AM298" t="s">
        <v>305</v>
      </c>
      <c r="AN298" t="s">
        <v>302</v>
      </c>
      <c r="AO298">
        <v>381</v>
      </c>
    </row>
    <row r="299" spans="1:41" x14ac:dyDescent="0.3">
      <c r="A299">
        <v>1217494</v>
      </c>
      <c r="B299" t="s">
        <v>306</v>
      </c>
      <c r="C299" t="str">
        <f>_xlfn.XLOOKUP(B299,Match!$A$2:$A$111,Match!$B$2:$B$111)</f>
        <v>Hamilton, FL</v>
      </c>
      <c r="D299" t="str">
        <f>_xlfn.XLOOKUP(C299,Validation!$B$2:$B$68,Validation!$A$2:$A$68)</f>
        <v>12047</v>
      </c>
      <c r="E299" t="s">
        <v>40</v>
      </c>
      <c r="F299" s="1">
        <v>45561</v>
      </c>
      <c r="G299">
        <v>1100</v>
      </c>
      <c r="H299" t="s">
        <v>190</v>
      </c>
      <c r="I299" t="s">
        <v>40</v>
      </c>
      <c r="J299" t="s">
        <v>40</v>
      </c>
      <c r="K299">
        <v>0</v>
      </c>
      <c r="L299">
        <v>0</v>
      </c>
      <c r="M299">
        <v>0</v>
      </c>
      <c r="N299">
        <v>0</v>
      </c>
      <c r="O299" t="s">
        <v>42</v>
      </c>
      <c r="P299" t="s">
        <v>180</v>
      </c>
      <c r="Q299" t="s">
        <v>40</v>
      </c>
      <c r="R299">
        <v>196050</v>
      </c>
      <c r="S299" t="s">
        <v>44</v>
      </c>
      <c r="T299">
        <v>120</v>
      </c>
      <c r="U299" t="s">
        <v>75</v>
      </c>
      <c r="V299">
        <v>0</v>
      </c>
      <c r="W299">
        <v>0</v>
      </c>
      <c r="X299" t="s">
        <v>181</v>
      </c>
      <c r="Y299" t="s">
        <v>40</v>
      </c>
      <c r="Z299" t="s">
        <v>40</v>
      </c>
      <c r="AA299" t="s">
        <v>40</v>
      </c>
      <c r="AB299" t="s">
        <v>40</v>
      </c>
      <c r="AC299" t="s">
        <v>40</v>
      </c>
      <c r="AD299" t="s">
        <v>40</v>
      </c>
      <c r="AE299" t="s">
        <v>40</v>
      </c>
      <c r="AF299" t="s">
        <v>40</v>
      </c>
      <c r="AG299" s="1">
        <v>45562</v>
      </c>
      <c r="AH299">
        <v>1100</v>
      </c>
      <c r="AI299" t="s">
        <v>40</v>
      </c>
      <c r="AJ299" t="s">
        <v>40</v>
      </c>
      <c r="AK299" t="s">
        <v>40</v>
      </c>
      <c r="AL299" t="s">
        <v>40</v>
      </c>
      <c r="AM299" t="s">
        <v>307</v>
      </c>
      <c r="AN299" t="s">
        <v>302</v>
      </c>
      <c r="AO299">
        <v>382</v>
      </c>
    </row>
    <row r="300" spans="1:41" x14ac:dyDescent="0.3">
      <c r="A300">
        <v>1217492</v>
      </c>
      <c r="B300" t="s">
        <v>308</v>
      </c>
      <c r="C300" t="str">
        <f>_xlfn.XLOOKUP(B300,Match!$A$2:$A$111,Match!$B$2:$B$111)</f>
        <v>Hamilton, FL</v>
      </c>
      <c r="D300" t="str">
        <f>_xlfn.XLOOKUP(C300,Validation!$B$2:$B$68,Validation!$A$2:$A$68)</f>
        <v>12047</v>
      </c>
      <c r="E300" t="s">
        <v>40</v>
      </c>
      <c r="F300" s="1">
        <v>45561</v>
      </c>
      <c r="G300">
        <v>1100</v>
      </c>
      <c r="H300" t="s">
        <v>190</v>
      </c>
      <c r="I300" t="s">
        <v>40</v>
      </c>
      <c r="J300" t="s">
        <v>40</v>
      </c>
      <c r="K300">
        <v>0</v>
      </c>
      <c r="L300">
        <v>0</v>
      </c>
      <c r="M300">
        <v>0</v>
      </c>
      <c r="N300">
        <v>0</v>
      </c>
      <c r="O300" t="s">
        <v>42</v>
      </c>
      <c r="P300" t="s">
        <v>180</v>
      </c>
      <c r="Q300" t="s">
        <v>40</v>
      </c>
      <c r="R300">
        <v>196050</v>
      </c>
      <c r="S300" t="s">
        <v>44</v>
      </c>
      <c r="T300">
        <v>220</v>
      </c>
      <c r="U300" t="s">
        <v>75</v>
      </c>
      <c r="V300">
        <v>0</v>
      </c>
      <c r="W300">
        <v>0</v>
      </c>
      <c r="X300" t="s">
        <v>181</v>
      </c>
      <c r="Y300" t="s">
        <v>40</v>
      </c>
      <c r="Z300" t="s">
        <v>40</v>
      </c>
      <c r="AA300" t="s">
        <v>40</v>
      </c>
      <c r="AB300" t="s">
        <v>40</v>
      </c>
      <c r="AC300" t="s">
        <v>40</v>
      </c>
      <c r="AD300" t="s">
        <v>40</v>
      </c>
      <c r="AE300" t="s">
        <v>40</v>
      </c>
      <c r="AF300" t="s">
        <v>40</v>
      </c>
      <c r="AG300" s="1">
        <v>45562</v>
      </c>
      <c r="AH300">
        <v>1100</v>
      </c>
      <c r="AI300" t="s">
        <v>40</v>
      </c>
      <c r="AJ300" t="s">
        <v>40</v>
      </c>
      <c r="AK300" t="s">
        <v>40</v>
      </c>
      <c r="AL300" t="s">
        <v>40</v>
      </c>
      <c r="AM300" t="s">
        <v>309</v>
      </c>
      <c r="AN300" t="s">
        <v>302</v>
      </c>
      <c r="AO300">
        <v>383</v>
      </c>
    </row>
    <row r="301" spans="1:41" x14ac:dyDescent="0.3">
      <c r="A301">
        <v>1209826</v>
      </c>
      <c r="B301" t="s">
        <v>187</v>
      </c>
      <c r="C301" t="str">
        <f>_xlfn.XLOOKUP(B301,Match!$A$2:$A$111,Match!$B$2:$B$111)</f>
        <v>Jefferson, FL</v>
      </c>
      <c r="D301" t="str">
        <f>_xlfn.XLOOKUP(C301,Validation!$B$2:$B$68,Validation!$A$2:$A$68)</f>
        <v>12065</v>
      </c>
      <c r="E301" t="s">
        <v>40</v>
      </c>
      <c r="F301" s="1">
        <v>45561</v>
      </c>
      <c r="G301">
        <v>1600</v>
      </c>
      <c r="H301" t="s">
        <v>190</v>
      </c>
      <c r="I301" t="s">
        <v>40</v>
      </c>
      <c r="J301" t="s">
        <v>40</v>
      </c>
      <c r="K301">
        <v>0</v>
      </c>
      <c r="L301">
        <v>0</v>
      </c>
      <c r="M301">
        <v>10000000</v>
      </c>
      <c r="N301">
        <v>0</v>
      </c>
      <c r="O301" t="s">
        <v>42</v>
      </c>
      <c r="P301" t="s">
        <v>180</v>
      </c>
      <c r="Q301" t="s">
        <v>40</v>
      </c>
      <c r="R301">
        <v>195637</v>
      </c>
      <c r="S301" t="s">
        <v>44</v>
      </c>
      <c r="T301">
        <v>18</v>
      </c>
      <c r="U301" t="s">
        <v>106</v>
      </c>
      <c r="V301">
        <v>0</v>
      </c>
      <c r="W301">
        <v>0</v>
      </c>
      <c r="X301" t="s">
        <v>200</v>
      </c>
      <c r="Y301" t="s">
        <v>40</v>
      </c>
      <c r="Z301" t="s">
        <v>40</v>
      </c>
      <c r="AA301" t="s">
        <v>40</v>
      </c>
      <c r="AB301" t="s">
        <v>40</v>
      </c>
      <c r="AC301" t="s">
        <v>40</v>
      </c>
      <c r="AD301" t="s">
        <v>40</v>
      </c>
      <c r="AE301" t="s">
        <v>40</v>
      </c>
      <c r="AF301" t="s">
        <v>40</v>
      </c>
      <c r="AG301" s="1">
        <v>45562</v>
      </c>
      <c r="AH301">
        <v>400</v>
      </c>
      <c r="AI301" t="s">
        <v>40</v>
      </c>
      <c r="AJ301" t="s">
        <v>40</v>
      </c>
      <c r="AK301" t="s">
        <v>40</v>
      </c>
      <c r="AL301" t="s">
        <v>40</v>
      </c>
      <c r="AM301" t="s">
        <v>310</v>
      </c>
      <c r="AN301" t="s">
        <v>311</v>
      </c>
      <c r="AO301">
        <v>384</v>
      </c>
    </row>
    <row r="302" spans="1:41" x14ac:dyDescent="0.3">
      <c r="A302">
        <v>1209836</v>
      </c>
      <c r="B302" t="s">
        <v>114</v>
      </c>
      <c r="C302" t="str">
        <f>_xlfn.XLOOKUP(B302,Match!$A$2:$A$111,Match!$B$2:$B$111)</f>
        <v>Madison, FL</v>
      </c>
      <c r="D302" t="str">
        <f>_xlfn.XLOOKUP(C302,Validation!$B$2:$B$68,Validation!$A$2:$A$68)</f>
        <v>12079</v>
      </c>
      <c r="E302" t="s">
        <v>40</v>
      </c>
      <c r="F302" s="1">
        <v>45561</v>
      </c>
      <c r="G302">
        <v>1600</v>
      </c>
      <c r="H302" t="s">
        <v>190</v>
      </c>
      <c r="I302" t="s">
        <v>40</v>
      </c>
      <c r="J302" t="s">
        <v>40</v>
      </c>
      <c r="K302">
        <v>0</v>
      </c>
      <c r="L302">
        <v>0</v>
      </c>
      <c r="M302">
        <v>1000000000</v>
      </c>
      <c r="N302">
        <v>75000000</v>
      </c>
      <c r="O302" t="s">
        <v>42</v>
      </c>
      <c r="P302" t="s">
        <v>180</v>
      </c>
      <c r="Q302" t="s">
        <v>40</v>
      </c>
      <c r="R302">
        <v>195637</v>
      </c>
      <c r="S302" t="s">
        <v>44</v>
      </c>
      <c r="T302">
        <v>19</v>
      </c>
      <c r="U302" t="s">
        <v>106</v>
      </c>
      <c r="V302">
        <v>0</v>
      </c>
      <c r="W302">
        <v>0</v>
      </c>
      <c r="X302" t="s">
        <v>200</v>
      </c>
      <c r="Y302" t="s">
        <v>40</v>
      </c>
      <c r="Z302" t="s">
        <v>40</v>
      </c>
      <c r="AA302" t="s">
        <v>40</v>
      </c>
      <c r="AB302" t="s">
        <v>40</v>
      </c>
      <c r="AC302" t="s">
        <v>40</v>
      </c>
      <c r="AD302" t="s">
        <v>40</v>
      </c>
      <c r="AE302" t="s">
        <v>40</v>
      </c>
      <c r="AF302" t="s">
        <v>40</v>
      </c>
      <c r="AG302" s="1">
        <v>45562</v>
      </c>
      <c r="AH302">
        <v>400</v>
      </c>
      <c r="AI302" t="s">
        <v>40</v>
      </c>
      <c r="AJ302" t="s">
        <v>40</v>
      </c>
      <c r="AK302" t="s">
        <v>40</v>
      </c>
      <c r="AL302" t="s">
        <v>40</v>
      </c>
      <c r="AM302" t="s">
        <v>312</v>
      </c>
      <c r="AN302" t="s">
        <v>311</v>
      </c>
      <c r="AO302">
        <v>385</v>
      </c>
    </row>
    <row r="303" spans="1:41" x14ac:dyDescent="0.3">
      <c r="A303">
        <v>1209835</v>
      </c>
      <c r="B303" t="s">
        <v>111</v>
      </c>
      <c r="C303" t="str">
        <f>_xlfn.XLOOKUP(B303,Match!$A$2:$A$111,Match!$B$2:$B$111)</f>
        <v>Lafayette, FL</v>
      </c>
      <c r="D303" t="str">
        <f>_xlfn.XLOOKUP(C303,Validation!$B$2:$B$68,Validation!$A$2:$A$68)</f>
        <v>12067</v>
      </c>
      <c r="E303" t="s">
        <v>40</v>
      </c>
      <c r="F303" s="1">
        <v>45561</v>
      </c>
      <c r="G303">
        <v>1600</v>
      </c>
      <c r="H303" t="s">
        <v>190</v>
      </c>
      <c r="I303" t="s">
        <v>40</v>
      </c>
      <c r="J303" t="s">
        <v>40</v>
      </c>
      <c r="K303">
        <v>0</v>
      </c>
      <c r="L303">
        <v>0</v>
      </c>
      <c r="M303">
        <v>1000000000</v>
      </c>
      <c r="N303">
        <v>75000000</v>
      </c>
      <c r="O303" t="s">
        <v>42</v>
      </c>
      <c r="P303" t="s">
        <v>180</v>
      </c>
      <c r="Q303" t="s">
        <v>40</v>
      </c>
      <c r="R303">
        <v>195637</v>
      </c>
      <c r="S303" t="s">
        <v>44</v>
      </c>
      <c r="T303">
        <v>29</v>
      </c>
      <c r="U303" t="s">
        <v>106</v>
      </c>
      <c r="V303">
        <v>0</v>
      </c>
      <c r="W303">
        <v>0</v>
      </c>
      <c r="X303" t="s">
        <v>200</v>
      </c>
      <c r="Y303" t="s">
        <v>40</v>
      </c>
      <c r="Z303" t="s">
        <v>40</v>
      </c>
      <c r="AA303" t="s">
        <v>40</v>
      </c>
      <c r="AB303" t="s">
        <v>40</v>
      </c>
      <c r="AC303" t="s">
        <v>40</v>
      </c>
      <c r="AD303" t="s">
        <v>40</v>
      </c>
      <c r="AE303" t="s">
        <v>40</v>
      </c>
      <c r="AF303" t="s">
        <v>40</v>
      </c>
      <c r="AG303" s="1">
        <v>45562</v>
      </c>
      <c r="AH303">
        <v>400</v>
      </c>
      <c r="AI303" t="s">
        <v>40</v>
      </c>
      <c r="AJ303" t="s">
        <v>40</v>
      </c>
      <c r="AK303" t="s">
        <v>40</v>
      </c>
      <c r="AL303" t="s">
        <v>40</v>
      </c>
      <c r="AM303" t="s">
        <v>313</v>
      </c>
      <c r="AN303" t="s">
        <v>311</v>
      </c>
      <c r="AO303">
        <v>386</v>
      </c>
    </row>
    <row r="304" spans="1:41" x14ac:dyDescent="0.3">
      <c r="A304">
        <v>1209834</v>
      </c>
      <c r="B304" t="s">
        <v>286</v>
      </c>
      <c r="C304" t="str">
        <f>_xlfn.XLOOKUP(B304,Match!$A$2:$A$111,Match!$B$2:$B$111)</f>
        <v>Dixie, FL</v>
      </c>
      <c r="D304" t="str">
        <f>_xlfn.XLOOKUP(C304,Validation!$B$2:$B$68,Validation!$A$2:$A$68)</f>
        <v>12029</v>
      </c>
      <c r="E304" t="s">
        <v>40</v>
      </c>
      <c r="F304" s="1">
        <v>45561</v>
      </c>
      <c r="G304">
        <v>1600</v>
      </c>
      <c r="H304" t="s">
        <v>190</v>
      </c>
      <c r="I304" t="s">
        <v>40</v>
      </c>
      <c r="J304" t="s">
        <v>40</v>
      </c>
      <c r="K304">
        <v>1</v>
      </c>
      <c r="L304">
        <v>0</v>
      </c>
      <c r="M304">
        <v>1000000000</v>
      </c>
      <c r="N304">
        <v>75000000</v>
      </c>
      <c r="O304" t="s">
        <v>42</v>
      </c>
      <c r="P304" t="s">
        <v>180</v>
      </c>
      <c r="Q304" t="s">
        <v>40</v>
      </c>
      <c r="R304">
        <v>195637</v>
      </c>
      <c r="S304" t="s">
        <v>44</v>
      </c>
      <c r="T304">
        <v>34</v>
      </c>
      <c r="U304" t="s">
        <v>106</v>
      </c>
      <c r="V304">
        <v>0</v>
      </c>
      <c r="W304">
        <v>2</v>
      </c>
      <c r="X304" t="s">
        <v>200</v>
      </c>
      <c r="Y304" t="s">
        <v>40</v>
      </c>
      <c r="Z304" t="s">
        <v>40</v>
      </c>
      <c r="AA304" t="s">
        <v>40</v>
      </c>
      <c r="AB304" t="s">
        <v>40</v>
      </c>
      <c r="AC304" t="s">
        <v>40</v>
      </c>
      <c r="AD304" t="s">
        <v>40</v>
      </c>
      <c r="AE304" t="s">
        <v>40</v>
      </c>
      <c r="AF304" t="s">
        <v>40</v>
      </c>
      <c r="AG304" s="1">
        <v>45562</v>
      </c>
      <c r="AH304">
        <v>400</v>
      </c>
      <c r="AI304" t="s">
        <v>40</v>
      </c>
      <c r="AJ304" t="s">
        <v>40</v>
      </c>
      <c r="AK304" t="s">
        <v>40</v>
      </c>
      <c r="AL304" t="s">
        <v>40</v>
      </c>
      <c r="AM304" t="s">
        <v>314</v>
      </c>
      <c r="AN304" t="s">
        <v>311</v>
      </c>
      <c r="AO304">
        <v>387</v>
      </c>
    </row>
    <row r="305" spans="1:41" x14ac:dyDescent="0.3">
      <c r="A305">
        <v>1209833</v>
      </c>
      <c r="B305" t="s">
        <v>284</v>
      </c>
      <c r="C305" t="str">
        <f>_xlfn.XLOOKUP(B305,Match!$A$2:$A$111,Match!$B$2:$B$111)</f>
        <v>Dixie, FL</v>
      </c>
      <c r="D305" t="str">
        <f>_xlfn.XLOOKUP(C305,Validation!$B$2:$B$68,Validation!$A$2:$A$68)</f>
        <v>12029</v>
      </c>
      <c r="E305" t="s">
        <v>40</v>
      </c>
      <c r="F305" s="1">
        <v>45561</v>
      </c>
      <c r="G305">
        <v>1600</v>
      </c>
      <c r="H305" t="s">
        <v>190</v>
      </c>
      <c r="I305" t="s">
        <v>40</v>
      </c>
      <c r="J305" t="s">
        <v>40</v>
      </c>
      <c r="K305">
        <v>0</v>
      </c>
      <c r="L305">
        <v>0</v>
      </c>
      <c r="M305">
        <v>16100000</v>
      </c>
      <c r="N305">
        <v>0</v>
      </c>
      <c r="O305" t="s">
        <v>42</v>
      </c>
      <c r="P305" t="s">
        <v>180</v>
      </c>
      <c r="Q305" t="s">
        <v>40</v>
      </c>
      <c r="R305">
        <v>195637</v>
      </c>
      <c r="S305" t="s">
        <v>44</v>
      </c>
      <c r="T305">
        <v>134</v>
      </c>
      <c r="U305" t="s">
        <v>106</v>
      </c>
      <c r="V305">
        <v>0</v>
      </c>
      <c r="W305">
        <v>0</v>
      </c>
      <c r="X305" t="s">
        <v>200</v>
      </c>
      <c r="Y305" t="s">
        <v>40</v>
      </c>
      <c r="Z305" t="s">
        <v>40</v>
      </c>
      <c r="AA305" t="s">
        <v>40</v>
      </c>
      <c r="AB305" t="s">
        <v>40</v>
      </c>
      <c r="AC305" t="s">
        <v>40</v>
      </c>
      <c r="AD305" t="s">
        <v>40</v>
      </c>
      <c r="AE305" t="s">
        <v>40</v>
      </c>
      <c r="AF305" t="s">
        <v>40</v>
      </c>
      <c r="AG305" s="1">
        <v>45562</v>
      </c>
      <c r="AH305">
        <v>400</v>
      </c>
      <c r="AI305" t="s">
        <v>40</v>
      </c>
      <c r="AJ305" t="s">
        <v>40</v>
      </c>
      <c r="AK305" t="s">
        <v>40</v>
      </c>
      <c r="AL305" t="s">
        <v>40</v>
      </c>
      <c r="AM305" t="s">
        <v>315</v>
      </c>
      <c r="AN305" t="s">
        <v>311</v>
      </c>
      <c r="AO305">
        <v>388</v>
      </c>
    </row>
    <row r="306" spans="1:41" x14ac:dyDescent="0.3">
      <c r="A306">
        <v>1209832</v>
      </c>
      <c r="B306" t="s">
        <v>189</v>
      </c>
      <c r="C306" t="str">
        <f>_xlfn.XLOOKUP(B306,Match!$A$2:$A$111,Match!$B$2:$B$111)</f>
        <v>Taylor, FL</v>
      </c>
      <c r="D306" t="str">
        <f>_xlfn.XLOOKUP(C306,Validation!$B$2:$B$68,Validation!$A$2:$A$68)</f>
        <v>12123</v>
      </c>
      <c r="E306" t="s">
        <v>40</v>
      </c>
      <c r="F306" s="1">
        <v>45561</v>
      </c>
      <c r="G306">
        <v>1600</v>
      </c>
      <c r="H306" t="s">
        <v>190</v>
      </c>
      <c r="I306" t="s">
        <v>40</v>
      </c>
      <c r="J306" t="s">
        <v>40</v>
      </c>
      <c r="K306">
        <v>0</v>
      </c>
      <c r="L306">
        <v>0</v>
      </c>
      <c r="M306">
        <v>1000000000</v>
      </c>
      <c r="N306">
        <v>75000000</v>
      </c>
      <c r="O306" t="s">
        <v>42</v>
      </c>
      <c r="P306" t="s">
        <v>180</v>
      </c>
      <c r="Q306" t="s">
        <v>40</v>
      </c>
      <c r="R306">
        <v>195637</v>
      </c>
      <c r="S306" t="s">
        <v>44</v>
      </c>
      <c r="T306">
        <v>28</v>
      </c>
      <c r="U306" t="s">
        <v>106</v>
      </c>
      <c r="V306">
        <v>0</v>
      </c>
      <c r="W306">
        <v>0</v>
      </c>
      <c r="X306" t="s">
        <v>200</v>
      </c>
      <c r="Y306" t="s">
        <v>40</v>
      </c>
      <c r="Z306" t="s">
        <v>40</v>
      </c>
      <c r="AA306" t="s">
        <v>40</v>
      </c>
      <c r="AB306" t="s">
        <v>40</v>
      </c>
      <c r="AC306" t="s">
        <v>40</v>
      </c>
      <c r="AD306" t="s">
        <v>40</v>
      </c>
      <c r="AE306" t="s">
        <v>40</v>
      </c>
      <c r="AF306" t="s">
        <v>40</v>
      </c>
      <c r="AG306" s="1">
        <v>45562</v>
      </c>
      <c r="AH306">
        <v>400</v>
      </c>
      <c r="AI306" t="s">
        <v>40</v>
      </c>
      <c r="AJ306" t="s">
        <v>40</v>
      </c>
      <c r="AK306" t="s">
        <v>40</v>
      </c>
      <c r="AL306" t="s">
        <v>40</v>
      </c>
      <c r="AM306" t="s">
        <v>316</v>
      </c>
      <c r="AN306" t="s">
        <v>311</v>
      </c>
      <c r="AO306">
        <v>389</v>
      </c>
    </row>
    <row r="307" spans="1:41" x14ac:dyDescent="0.3">
      <c r="A307">
        <v>1209829</v>
      </c>
      <c r="B307" t="s">
        <v>188</v>
      </c>
      <c r="C307" t="str">
        <f>_xlfn.XLOOKUP(B307,Match!$A$2:$A$111,Match!$B$2:$B$111)</f>
        <v>Taylor, FL</v>
      </c>
      <c r="D307" t="str">
        <f>_xlfn.XLOOKUP(C307,Validation!$B$2:$B$68,Validation!$A$2:$A$68)</f>
        <v>12123</v>
      </c>
      <c r="E307" t="s">
        <v>40</v>
      </c>
      <c r="F307" s="1">
        <v>45561</v>
      </c>
      <c r="G307">
        <v>1600</v>
      </c>
      <c r="H307" t="s">
        <v>190</v>
      </c>
      <c r="I307" t="s">
        <v>40</v>
      </c>
      <c r="J307" t="s">
        <v>40</v>
      </c>
      <c r="K307">
        <v>0</v>
      </c>
      <c r="L307">
        <v>0</v>
      </c>
      <c r="M307">
        <v>200000000</v>
      </c>
      <c r="N307">
        <v>0</v>
      </c>
      <c r="O307" t="s">
        <v>42</v>
      </c>
      <c r="P307" t="s">
        <v>180</v>
      </c>
      <c r="Q307" t="s">
        <v>40</v>
      </c>
      <c r="R307">
        <v>195637</v>
      </c>
      <c r="S307" t="s">
        <v>44</v>
      </c>
      <c r="T307">
        <v>128</v>
      </c>
      <c r="U307" t="s">
        <v>106</v>
      </c>
      <c r="V307">
        <v>0</v>
      </c>
      <c r="W307">
        <v>0</v>
      </c>
      <c r="X307" t="s">
        <v>200</v>
      </c>
      <c r="Y307" t="s">
        <v>40</v>
      </c>
      <c r="Z307" t="s">
        <v>40</v>
      </c>
      <c r="AA307" t="s">
        <v>40</v>
      </c>
      <c r="AB307" t="s">
        <v>40</v>
      </c>
      <c r="AC307" t="s">
        <v>40</v>
      </c>
      <c r="AD307" t="s">
        <v>40</v>
      </c>
      <c r="AE307" t="s">
        <v>40</v>
      </c>
      <c r="AF307" t="s">
        <v>40</v>
      </c>
      <c r="AG307" s="1">
        <v>45562</v>
      </c>
      <c r="AH307">
        <v>400</v>
      </c>
      <c r="AI307" t="s">
        <v>40</v>
      </c>
      <c r="AJ307" t="s">
        <v>40</v>
      </c>
      <c r="AK307" t="s">
        <v>40</v>
      </c>
      <c r="AL307" t="s">
        <v>40</v>
      </c>
      <c r="AM307" t="s">
        <v>317</v>
      </c>
      <c r="AN307" t="s">
        <v>311</v>
      </c>
      <c r="AO307">
        <v>390</v>
      </c>
    </row>
    <row r="308" spans="1:41" x14ac:dyDescent="0.3">
      <c r="A308">
        <v>1209825</v>
      </c>
      <c r="B308" t="s">
        <v>186</v>
      </c>
      <c r="C308" t="str">
        <f>_xlfn.XLOOKUP(B308,Match!$A$2:$A$111,Match!$B$2:$B$111)</f>
        <v>Jefferson, FL</v>
      </c>
      <c r="D308" t="str">
        <f>_xlfn.XLOOKUP(C308,Validation!$B$2:$B$68,Validation!$A$2:$A$68)</f>
        <v>12065</v>
      </c>
      <c r="E308" t="s">
        <v>40</v>
      </c>
      <c r="F308" s="1">
        <v>45561</v>
      </c>
      <c r="G308">
        <v>1600</v>
      </c>
      <c r="H308" t="s">
        <v>190</v>
      </c>
      <c r="I308" t="s">
        <v>40</v>
      </c>
      <c r="J308" t="s">
        <v>40</v>
      </c>
      <c r="K308">
        <v>0</v>
      </c>
      <c r="L308">
        <v>0</v>
      </c>
      <c r="M308">
        <v>0</v>
      </c>
      <c r="N308">
        <v>0</v>
      </c>
      <c r="O308" t="s">
        <v>42</v>
      </c>
      <c r="P308" t="s">
        <v>180</v>
      </c>
      <c r="Q308" t="s">
        <v>40</v>
      </c>
      <c r="R308">
        <v>195637</v>
      </c>
      <c r="S308" t="s">
        <v>44</v>
      </c>
      <c r="T308">
        <v>118</v>
      </c>
      <c r="U308" t="s">
        <v>106</v>
      </c>
      <c r="V308">
        <v>0</v>
      </c>
      <c r="W308">
        <v>0</v>
      </c>
      <c r="X308" t="s">
        <v>200</v>
      </c>
      <c r="Y308" t="s">
        <v>40</v>
      </c>
      <c r="Z308" t="s">
        <v>40</v>
      </c>
      <c r="AA308" t="s">
        <v>40</v>
      </c>
      <c r="AB308" t="s">
        <v>40</v>
      </c>
      <c r="AC308" t="s">
        <v>40</v>
      </c>
      <c r="AD308" t="s">
        <v>40</v>
      </c>
      <c r="AE308" t="s">
        <v>40</v>
      </c>
      <c r="AF308" t="s">
        <v>40</v>
      </c>
      <c r="AG308" s="1">
        <v>45562</v>
      </c>
      <c r="AH308">
        <v>400</v>
      </c>
      <c r="AI308" t="s">
        <v>40</v>
      </c>
      <c r="AJ308" t="s">
        <v>40</v>
      </c>
      <c r="AK308" t="s">
        <v>40</v>
      </c>
      <c r="AL308" t="s">
        <v>40</v>
      </c>
      <c r="AN308" t="s">
        <v>311</v>
      </c>
      <c r="AO308">
        <v>391</v>
      </c>
    </row>
    <row r="309" spans="1:41" x14ac:dyDescent="0.3">
      <c r="A309">
        <v>1209821</v>
      </c>
      <c r="B309" t="s">
        <v>112</v>
      </c>
      <c r="C309" t="str">
        <f>_xlfn.XLOOKUP(B309,Match!$A$2:$A$111,Match!$B$2:$B$111)</f>
        <v>Leon, FL</v>
      </c>
      <c r="D309" t="str">
        <f>_xlfn.XLOOKUP(C309,Validation!$B$2:$B$68,Validation!$A$2:$A$68)</f>
        <v>12073</v>
      </c>
      <c r="E309" t="s">
        <v>40</v>
      </c>
      <c r="F309" s="1">
        <v>45561</v>
      </c>
      <c r="G309">
        <v>1600</v>
      </c>
      <c r="H309" t="s">
        <v>190</v>
      </c>
      <c r="I309" t="s">
        <v>40</v>
      </c>
      <c r="J309" t="s">
        <v>40</v>
      </c>
      <c r="K309">
        <v>0</v>
      </c>
      <c r="L309">
        <v>0</v>
      </c>
      <c r="M309">
        <v>14000000</v>
      </c>
      <c r="N309">
        <v>0</v>
      </c>
      <c r="O309" t="s">
        <v>42</v>
      </c>
      <c r="P309" t="s">
        <v>180</v>
      </c>
      <c r="Q309" t="s">
        <v>40</v>
      </c>
      <c r="R309">
        <v>195637</v>
      </c>
      <c r="S309" t="s">
        <v>44</v>
      </c>
      <c r="T309">
        <v>17</v>
      </c>
      <c r="U309" t="s">
        <v>106</v>
      </c>
      <c r="V309">
        <v>0</v>
      </c>
      <c r="W309">
        <v>0</v>
      </c>
      <c r="X309" t="s">
        <v>200</v>
      </c>
      <c r="Y309" t="s">
        <v>40</v>
      </c>
      <c r="Z309" t="s">
        <v>40</v>
      </c>
      <c r="AA309" t="s">
        <v>40</v>
      </c>
      <c r="AB309" t="s">
        <v>40</v>
      </c>
      <c r="AC309" t="s">
        <v>40</v>
      </c>
      <c r="AD309" t="s">
        <v>40</v>
      </c>
      <c r="AE309" t="s">
        <v>40</v>
      </c>
      <c r="AF309" t="s">
        <v>40</v>
      </c>
      <c r="AG309" s="1">
        <v>45562</v>
      </c>
      <c r="AH309">
        <v>400</v>
      </c>
      <c r="AI309" t="s">
        <v>40</v>
      </c>
      <c r="AJ309" t="s">
        <v>40</v>
      </c>
      <c r="AK309" t="s">
        <v>40</v>
      </c>
      <c r="AL309" t="s">
        <v>40</v>
      </c>
      <c r="AM309" t="s">
        <v>318</v>
      </c>
      <c r="AN309" t="s">
        <v>311</v>
      </c>
      <c r="AO309">
        <v>392</v>
      </c>
    </row>
    <row r="310" spans="1:41" x14ac:dyDescent="0.3">
      <c r="A310">
        <v>1209819</v>
      </c>
      <c r="B310" t="s">
        <v>185</v>
      </c>
      <c r="C310" t="str">
        <f>_xlfn.XLOOKUP(B310,Match!$A$2:$A$111,Match!$B$2:$B$111)</f>
        <v>Wakulla, FL</v>
      </c>
      <c r="D310" t="str">
        <f>_xlfn.XLOOKUP(C310,Validation!$B$2:$B$68,Validation!$A$2:$A$68)</f>
        <v>12129</v>
      </c>
      <c r="E310" t="s">
        <v>40</v>
      </c>
      <c r="F310" s="1">
        <v>45561</v>
      </c>
      <c r="G310">
        <v>1600</v>
      </c>
      <c r="H310" t="s">
        <v>190</v>
      </c>
      <c r="I310" t="s">
        <v>40</v>
      </c>
      <c r="J310" t="s">
        <v>40</v>
      </c>
      <c r="K310">
        <v>0</v>
      </c>
      <c r="L310">
        <v>0</v>
      </c>
      <c r="M310">
        <v>0</v>
      </c>
      <c r="N310">
        <v>0</v>
      </c>
      <c r="O310" t="s">
        <v>42</v>
      </c>
      <c r="P310" t="s">
        <v>180</v>
      </c>
      <c r="Q310" t="s">
        <v>40</v>
      </c>
      <c r="R310">
        <v>195637</v>
      </c>
      <c r="S310" t="s">
        <v>44</v>
      </c>
      <c r="T310">
        <v>27</v>
      </c>
      <c r="U310" t="s">
        <v>106</v>
      </c>
      <c r="V310">
        <v>0</v>
      </c>
      <c r="W310">
        <v>0</v>
      </c>
      <c r="X310" t="s">
        <v>200</v>
      </c>
      <c r="Y310" t="s">
        <v>40</v>
      </c>
      <c r="Z310" t="s">
        <v>40</v>
      </c>
      <c r="AA310" t="s">
        <v>40</v>
      </c>
      <c r="AB310" t="s">
        <v>40</v>
      </c>
      <c r="AC310" t="s">
        <v>40</v>
      </c>
      <c r="AD310" t="s">
        <v>40</v>
      </c>
      <c r="AE310" t="s">
        <v>40</v>
      </c>
      <c r="AF310" t="s">
        <v>40</v>
      </c>
      <c r="AG310" s="1">
        <v>45562</v>
      </c>
      <c r="AH310">
        <v>400</v>
      </c>
      <c r="AI310" t="s">
        <v>40</v>
      </c>
      <c r="AJ310" t="s">
        <v>40</v>
      </c>
      <c r="AK310" t="s">
        <v>40</v>
      </c>
      <c r="AL310" t="s">
        <v>40</v>
      </c>
      <c r="AN310" t="s">
        <v>311</v>
      </c>
      <c r="AO310">
        <v>393</v>
      </c>
    </row>
    <row r="311" spans="1:41" x14ac:dyDescent="0.3">
      <c r="A311">
        <v>1209818</v>
      </c>
      <c r="B311" t="s">
        <v>184</v>
      </c>
      <c r="C311" t="str">
        <f>_xlfn.XLOOKUP(B311,Match!$A$2:$A$111,Match!$B$2:$B$111)</f>
        <v>Wakulla, FL</v>
      </c>
      <c r="D311" t="str">
        <f>_xlfn.XLOOKUP(C311,Validation!$B$2:$B$68,Validation!$A$2:$A$68)</f>
        <v>12129</v>
      </c>
      <c r="E311" t="s">
        <v>40</v>
      </c>
      <c r="F311" s="1">
        <v>45561</v>
      </c>
      <c r="G311">
        <v>1600</v>
      </c>
      <c r="H311" t="s">
        <v>190</v>
      </c>
      <c r="I311" t="s">
        <v>40</v>
      </c>
      <c r="J311" t="s">
        <v>40</v>
      </c>
      <c r="K311">
        <v>0</v>
      </c>
      <c r="L311">
        <v>0</v>
      </c>
      <c r="M311">
        <v>0</v>
      </c>
      <c r="N311">
        <v>0</v>
      </c>
      <c r="O311" t="s">
        <v>42</v>
      </c>
      <c r="P311" t="s">
        <v>180</v>
      </c>
      <c r="Q311" t="s">
        <v>40</v>
      </c>
      <c r="R311">
        <v>195637</v>
      </c>
      <c r="S311" t="s">
        <v>44</v>
      </c>
      <c r="T311">
        <v>127</v>
      </c>
      <c r="U311" t="s">
        <v>106</v>
      </c>
      <c r="V311">
        <v>0</v>
      </c>
      <c r="W311">
        <v>0</v>
      </c>
      <c r="X311" t="s">
        <v>200</v>
      </c>
      <c r="Y311" t="s">
        <v>40</v>
      </c>
      <c r="Z311" t="s">
        <v>40</v>
      </c>
      <c r="AA311" t="s">
        <v>40</v>
      </c>
      <c r="AB311" t="s">
        <v>40</v>
      </c>
      <c r="AC311" t="s">
        <v>40</v>
      </c>
      <c r="AD311" t="s">
        <v>40</v>
      </c>
      <c r="AE311" t="s">
        <v>40</v>
      </c>
      <c r="AF311" t="s">
        <v>40</v>
      </c>
      <c r="AG311" s="1">
        <v>45562</v>
      </c>
      <c r="AH311">
        <v>400</v>
      </c>
      <c r="AI311" t="s">
        <v>40</v>
      </c>
      <c r="AJ311" t="s">
        <v>40</v>
      </c>
      <c r="AK311" t="s">
        <v>40</v>
      </c>
      <c r="AL311" t="s">
        <v>40</v>
      </c>
      <c r="AN311" t="s">
        <v>311</v>
      </c>
      <c r="AO311">
        <v>394</v>
      </c>
    </row>
    <row r="312" spans="1:41" x14ac:dyDescent="0.3">
      <c r="A312">
        <v>1213112</v>
      </c>
      <c r="B312" t="s">
        <v>319</v>
      </c>
      <c r="C312" t="str">
        <f>_xlfn.XLOOKUP(B312,Match!$A$2:$A$111,Match!$B$2:$B$111)</f>
        <v>Flagler, FL</v>
      </c>
      <c r="D312" t="str">
        <f>_xlfn.XLOOKUP(C312,Validation!$B$2:$B$68,Validation!$A$2:$A$68)</f>
        <v>12035</v>
      </c>
      <c r="E312" t="s">
        <v>40</v>
      </c>
      <c r="F312" s="1">
        <v>45574</v>
      </c>
      <c r="G312">
        <v>100</v>
      </c>
      <c r="H312" t="s">
        <v>190</v>
      </c>
      <c r="I312" t="s">
        <v>40</v>
      </c>
      <c r="J312" t="s">
        <v>40</v>
      </c>
      <c r="K312">
        <v>0</v>
      </c>
      <c r="L312">
        <v>0</v>
      </c>
      <c r="M312">
        <v>18800000</v>
      </c>
      <c r="N312">
        <v>0</v>
      </c>
      <c r="O312" t="s">
        <v>42</v>
      </c>
      <c r="P312" t="s">
        <v>180</v>
      </c>
      <c r="Q312" t="s">
        <v>40</v>
      </c>
      <c r="R312">
        <v>196055</v>
      </c>
      <c r="S312" t="s">
        <v>44</v>
      </c>
      <c r="T312">
        <v>138</v>
      </c>
      <c r="U312" t="s">
        <v>75</v>
      </c>
      <c r="V312">
        <v>0</v>
      </c>
      <c r="W312">
        <v>0</v>
      </c>
      <c r="X312" t="s">
        <v>181</v>
      </c>
      <c r="Y312" t="s">
        <v>40</v>
      </c>
      <c r="Z312" t="s">
        <v>40</v>
      </c>
      <c r="AA312" t="s">
        <v>40</v>
      </c>
      <c r="AB312" t="s">
        <v>40</v>
      </c>
      <c r="AC312" t="s">
        <v>40</v>
      </c>
      <c r="AD312" t="s">
        <v>40</v>
      </c>
      <c r="AE312" t="s">
        <v>40</v>
      </c>
      <c r="AF312" t="s">
        <v>40</v>
      </c>
      <c r="AG312" s="1">
        <v>45575</v>
      </c>
      <c r="AH312">
        <v>2300</v>
      </c>
      <c r="AI312" t="s">
        <v>40</v>
      </c>
      <c r="AJ312" t="s">
        <v>40</v>
      </c>
      <c r="AK312" t="s">
        <v>40</v>
      </c>
      <c r="AL312" t="s">
        <v>40</v>
      </c>
      <c r="AM312" t="s">
        <v>320</v>
      </c>
      <c r="AN312" t="s">
        <v>321</v>
      </c>
      <c r="AO312">
        <v>395</v>
      </c>
    </row>
    <row r="313" spans="1:41" x14ac:dyDescent="0.3">
      <c r="A313">
        <v>1219079</v>
      </c>
      <c r="B313" t="s">
        <v>322</v>
      </c>
      <c r="C313" t="str">
        <f>_xlfn.XLOOKUP(B313,Match!$A$2:$A$111,Match!$B$2:$B$111)</f>
        <v>Flagler, FL</v>
      </c>
      <c r="D313" t="str">
        <f>_xlfn.XLOOKUP(C313,Validation!$B$2:$B$68,Validation!$A$2:$A$68)</f>
        <v>12035</v>
      </c>
      <c r="E313" t="s">
        <v>40</v>
      </c>
      <c r="F313" s="1">
        <v>45574</v>
      </c>
      <c r="G313">
        <v>100</v>
      </c>
      <c r="H313" t="s">
        <v>190</v>
      </c>
      <c r="I313" t="s">
        <v>40</v>
      </c>
      <c r="J313" t="s">
        <v>40</v>
      </c>
      <c r="K313">
        <v>0</v>
      </c>
      <c r="L313">
        <v>0</v>
      </c>
      <c r="M313">
        <v>0</v>
      </c>
      <c r="N313">
        <v>0</v>
      </c>
      <c r="O313" t="s">
        <v>42</v>
      </c>
      <c r="P313" t="s">
        <v>180</v>
      </c>
      <c r="Q313" t="s">
        <v>40</v>
      </c>
      <c r="R313">
        <v>196055</v>
      </c>
      <c r="S313" t="s">
        <v>44</v>
      </c>
      <c r="T313">
        <v>38</v>
      </c>
      <c r="U313" t="s">
        <v>75</v>
      </c>
      <c r="V313">
        <v>0</v>
      </c>
      <c r="W313">
        <v>0</v>
      </c>
      <c r="X313" t="s">
        <v>181</v>
      </c>
      <c r="Y313" t="s">
        <v>40</v>
      </c>
      <c r="Z313" t="s">
        <v>40</v>
      </c>
      <c r="AA313" t="s">
        <v>40</v>
      </c>
      <c r="AB313" t="s">
        <v>40</v>
      </c>
      <c r="AC313" t="s">
        <v>40</v>
      </c>
      <c r="AD313" t="s">
        <v>40</v>
      </c>
      <c r="AE313" t="s">
        <v>40</v>
      </c>
      <c r="AF313" t="s">
        <v>40</v>
      </c>
      <c r="AG313" s="1">
        <v>45575</v>
      </c>
      <c r="AH313">
        <v>2300</v>
      </c>
      <c r="AI313" t="s">
        <v>40</v>
      </c>
      <c r="AJ313" t="s">
        <v>40</v>
      </c>
      <c r="AK313" t="s">
        <v>40</v>
      </c>
      <c r="AL313" t="s">
        <v>40</v>
      </c>
      <c r="AM313" t="s">
        <v>323</v>
      </c>
      <c r="AN313" t="s">
        <v>321</v>
      </c>
      <c r="AO313">
        <v>396</v>
      </c>
    </row>
    <row r="314" spans="1:41" x14ac:dyDescent="0.3">
      <c r="A314">
        <v>1221583</v>
      </c>
      <c r="B314" t="s">
        <v>231</v>
      </c>
      <c r="C314" t="str">
        <f>_xlfn.XLOOKUP(B314,Match!$A$2:$A$111,Match!$B$2:$B$111)</f>
        <v>Manatee, FL</v>
      </c>
      <c r="D314" t="str">
        <f>_xlfn.XLOOKUP(C314,Validation!$B$2:$B$68,Validation!$A$2:$A$68)</f>
        <v>12081</v>
      </c>
      <c r="E314" t="s">
        <v>40</v>
      </c>
      <c r="F314" s="1">
        <v>45574</v>
      </c>
      <c r="G314">
        <v>1000</v>
      </c>
      <c r="H314" t="s">
        <v>190</v>
      </c>
      <c r="I314" t="s">
        <v>40</v>
      </c>
      <c r="J314" t="s">
        <v>40</v>
      </c>
      <c r="K314">
        <v>0</v>
      </c>
      <c r="L314">
        <v>0</v>
      </c>
      <c r="M314">
        <v>0</v>
      </c>
      <c r="N314">
        <v>0</v>
      </c>
      <c r="O314" t="s">
        <v>42</v>
      </c>
      <c r="P314" t="s">
        <v>180</v>
      </c>
      <c r="Q314" t="s">
        <v>40</v>
      </c>
      <c r="R314">
        <v>197468</v>
      </c>
      <c r="S314" t="s">
        <v>44</v>
      </c>
      <c r="T314">
        <v>155</v>
      </c>
      <c r="U314" t="s">
        <v>54</v>
      </c>
      <c r="V314">
        <v>0</v>
      </c>
      <c r="W314">
        <v>0</v>
      </c>
      <c r="X314" t="s">
        <v>200</v>
      </c>
      <c r="Y314" t="s">
        <v>40</v>
      </c>
      <c r="Z314" t="s">
        <v>40</v>
      </c>
      <c r="AA314" t="s">
        <v>40</v>
      </c>
      <c r="AB314" t="s">
        <v>40</v>
      </c>
      <c r="AC314" t="s">
        <v>40</v>
      </c>
      <c r="AD314" t="s">
        <v>40</v>
      </c>
      <c r="AE314" t="s">
        <v>40</v>
      </c>
      <c r="AF314" t="s">
        <v>40</v>
      </c>
      <c r="AG314" s="1">
        <v>45575</v>
      </c>
      <c r="AH314">
        <v>700</v>
      </c>
      <c r="AI314" t="s">
        <v>40</v>
      </c>
      <c r="AJ314" t="s">
        <v>40</v>
      </c>
      <c r="AK314" t="s">
        <v>40</v>
      </c>
      <c r="AL314" t="s">
        <v>40</v>
      </c>
      <c r="AM314" t="s">
        <v>324</v>
      </c>
      <c r="AN314" t="s">
        <v>325</v>
      </c>
      <c r="AO314">
        <v>397</v>
      </c>
    </row>
    <row r="315" spans="1:41" x14ac:dyDescent="0.3">
      <c r="A315">
        <v>1221579</v>
      </c>
      <c r="B315" t="s">
        <v>238</v>
      </c>
      <c r="C315" t="str">
        <f>_xlfn.XLOOKUP(B315,Match!$A$2:$A$111,Match!$B$2:$B$111)</f>
        <v>Hillsborough, FL</v>
      </c>
      <c r="D315" t="str">
        <f>_xlfn.XLOOKUP(C315,Validation!$B$2:$B$68,Validation!$A$2:$A$68)</f>
        <v>12057</v>
      </c>
      <c r="E315" t="s">
        <v>40</v>
      </c>
      <c r="F315" s="1">
        <v>45574</v>
      </c>
      <c r="G315">
        <v>1000</v>
      </c>
      <c r="H315" t="s">
        <v>190</v>
      </c>
      <c r="I315" t="s">
        <v>40</v>
      </c>
      <c r="J315" t="s">
        <v>40</v>
      </c>
      <c r="K315">
        <v>0</v>
      </c>
      <c r="L315">
        <v>0</v>
      </c>
      <c r="M315">
        <v>0</v>
      </c>
      <c r="N315">
        <v>0</v>
      </c>
      <c r="O315" t="s">
        <v>42</v>
      </c>
      <c r="P315" t="s">
        <v>180</v>
      </c>
      <c r="Q315" t="s">
        <v>40</v>
      </c>
      <c r="R315">
        <v>197468</v>
      </c>
      <c r="S315" t="s">
        <v>44</v>
      </c>
      <c r="T315">
        <v>151</v>
      </c>
      <c r="U315" t="s">
        <v>54</v>
      </c>
      <c r="V315">
        <v>0</v>
      </c>
      <c r="W315">
        <v>0</v>
      </c>
      <c r="X315" t="s">
        <v>200</v>
      </c>
      <c r="Y315" t="s">
        <v>40</v>
      </c>
      <c r="Z315" t="s">
        <v>40</v>
      </c>
      <c r="AA315" t="s">
        <v>40</v>
      </c>
      <c r="AB315" t="s">
        <v>40</v>
      </c>
      <c r="AC315" t="s">
        <v>40</v>
      </c>
      <c r="AD315" t="s">
        <v>40</v>
      </c>
      <c r="AE315" t="s">
        <v>40</v>
      </c>
      <c r="AF315" t="s">
        <v>40</v>
      </c>
      <c r="AG315" s="1">
        <v>45575</v>
      </c>
      <c r="AH315">
        <v>700</v>
      </c>
      <c r="AI315" t="s">
        <v>40</v>
      </c>
      <c r="AJ315" t="s">
        <v>40</v>
      </c>
      <c r="AK315" t="s">
        <v>40</v>
      </c>
      <c r="AL315" t="s">
        <v>40</v>
      </c>
      <c r="AM315" t="s">
        <v>326</v>
      </c>
      <c r="AN315" t="s">
        <v>325</v>
      </c>
      <c r="AO315">
        <v>398</v>
      </c>
    </row>
    <row r="316" spans="1:41" x14ac:dyDescent="0.3">
      <c r="A316">
        <v>1221592</v>
      </c>
      <c r="B316" t="s">
        <v>224</v>
      </c>
      <c r="C316" t="str">
        <f>_xlfn.XLOOKUP(B316,Match!$A$2:$A$111,Match!$B$2:$B$111)</f>
        <v>Lee, FL</v>
      </c>
      <c r="D316" t="str">
        <f>_xlfn.XLOOKUP(C316,Validation!$B$2:$B$68,Validation!$A$2:$A$68)</f>
        <v>12071</v>
      </c>
      <c r="E316" t="s">
        <v>40</v>
      </c>
      <c r="F316" s="1">
        <v>45574</v>
      </c>
      <c r="G316">
        <v>1000</v>
      </c>
      <c r="H316" t="s">
        <v>190</v>
      </c>
      <c r="I316" t="s">
        <v>40</v>
      </c>
      <c r="J316" t="s">
        <v>40</v>
      </c>
      <c r="K316">
        <v>0</v>
      </c>
      <c r="L316">
        <v>0</v>
      </c>
      <c r="M316">
        <v>77000000</v>
      </c>
      <c r="N316">
        <v>0</v>
      </c>
      <c r="O316" t="s">
        <v>42</v>
      </c>
      <c r="P316" t="s">
        <v>180</v>
      </c>
      <c r="Q316" t="s">
        <v>40</v>
      </c>
      <c r="R316">
        <v>197468</v>
      </c>
      <c r="S316" t="s">
        <v>44</v>
      </c>
      <c r="T316">
        <v>165</v>
      </c>
      <c r="U316" t="s">
        <v>54</v>
      </c>
      <c r="V316">
        <v>0</v>
      </c>
      <c r="W316">
        <v>0</v>
      </c>
      <c r="X316" t="s">
        <v>200</v>
      </c>
      <c r="Y316" t="s">
        <v>40</v>
      </c>
      <c r="Z316" t="s">
        <v>40</v>
      </c>
      <c r="AA316" t="s">
        <v>40</v>
      </c>
      <c r="AB316" t="s">
        <v>40</v>
      </c>
      <c r="AC316" t="s">
        <v>40</v>
      </c>
      <c r="AD316" t="s">
        <v>40</v>
      </c>
      <c r="AE316" t="s">
        <v>40</v>
      </c>
      <c r="AF316" t="s">
        <v>40</v>
      </c>
      <c r="AG316" s="1">
        <v>45575</v>
      </c>
      <c r="AH316">
        <v>400</v>
      </c>
      <c r="AI316" t="s">
        <v>40</v>
      </c>
      <c r="AJ316" t="s">
        <v>40</v>
      </c>
      <c r="AK316" t="s">
        <v>40</v>
      </c>
      <c r="AL316" t="s">
        <v>40</v>
      </c>
      <c r="AM316" t="s">
        <v>327</v>
      </c>
      <c r="AN316" t="s">
        <v>325</v>
      </c>
      <c r="AO316">
        <v>399</v>
      </c>
    </row>
    <row r="317" spans="1:41" x14ac:dyDescent="0.3">
      <c r="A317">
        <v>1221591</v>
      </c>
      <c r="B317" t="s">
        <v>222</v>
      </c>
      <c r="C317" t="str">
        <f>_xlfn.XLOOKUP(B317,Match!$A$2:$A$111,Match!$B$2:$B$111)</f>
        <v>Charlotte, FL</v>
      </c>
      <c r="D317" t="str">
        <f>_xlfn.XLOOKUP(C317,Validation!$B$2:$B$68,Validation!$A$2:$A$68)</f>
        <v>12015</v>
      </c>
      <c r="E317" t="s">
        <v>40</v>
      </c>
      <c r="F317" s="1">
        <v>45574</v>
      </c>
      <c r="G317">
        <v>1000</v>
      </c>
      <c r="H317" t="s">
        <v>190</v>
      </c>
      <c r="I317" t="s">
        <v>40</v>
      </c>
      <c r="J317" t="s">
        <v>40</v>
      </c>
      <c r="K317">
        <v>0</v>
      </c>
      <c r="L317">
        <v>0</v>
      </c>
      <c r="M317">
        <v>0</v>
      </c>
      <c r="N317">
        <v>0</v>
      </c>
      <c r="O317" t="s">
        <v>42</v>
      </c>
      <c r="P317" t="s">
        <v>180</v>
      </c>
      <c r="Q317" t="s">
        <v>40</v>
      </c>
      <c r="R317">
        <v>197468</v>
      </c>
      <c r="S317" t="s">
        <v>44</v>
      </c>
      <c r="T317">
        <v>162</v>
      </c>
      <c r="U317" t="s">
        <v>54</v>
      </c>
      <c r="V317">
        <v>0</v>
      </c>
      <c r="W317">
        <v>0</v>
      </c>
      <c r="X317" t="s">
        <v>200</v>
      </c>
      <c r="Y317" t="s">
        <v>40</v>
      </c>
      <c r="Z317" t="s">
        <v>40</v>
      </c>
      <c r="AA317" t="s">
        <v>40</v>
      </c>
      <c r="AB317" t="s">
        <v>40</v>
      </c>
      <c r="AC317" t="s">
        <v>40</v>
      </c>
      <c r="AD317" t="s">
        <v>40</v>
      </c>
      <c r="AE317" t="s">
        <v>40</v>
      </c>
      <c r="AF317" t="s">
        <v>40</v>
      </c>
      <c r="AG317" s="1">
        <v>45575</v>
      </c>
      <c r="AH317">
        <v>400</v>
      </c>
      <c r="AI317" t="s">
        <v>40</v>
      </c>
      <c r="AJ317" t="s">
        <v>40</v>
      </c>
      <c r="AK317" t="s">
        <v>40</v>
      </c>
      <c r="AL317" t="s">
        <v>40</v>
      </c>
      <c r="AM317" t="s">
        <v>328</v>
      </c>
      <c r="AN317" t="s">
        <v>325</v>
      </c>
      <c r="AO317">
        <v>400</v>
      </c>
    </row>
    <row r="318" spans="1:41" x14ac:dyDescent="0.3">
      <c r="A318">
        <v>1221585</v>
      </c>
      <c r="B318" t="s">
        <v>229</v>
      </c>
      <c r="C318" t="str">
        <f>_xlfn.XLOOKUP(B318,Match!$A$2:$A$111,Match!$B$2:$B$111)</f>
        <v>Sarasota, FL</v>
      </c>
      <c r="D318" t="str">
        <f>_xlfn.XLOOKUP(C318,Validation!$B$2:$B$68,Validation!$A$2:$A$68)</f>
        <v>12115</v>
      </c>
      <c r="E318" t="s">
        <v>40</v>
      </c>
      <c r="F318" s="1">
        <v>45574</v>
      </c>
      <c r="G318">
        <v>1000</v>
      </c>
      <c r="H318" t="s">
        <v>190</v>
      </c>
      <c r="I318" t="s">
        <v>40</v>
      </c>
      <c r="J318" t="s">
        <v>40</v>
      </c>
      <c r="K318">
        <v>0</v>
      </c>
      <c r="L318">
        <v>0</v>
      </c>
      <c r="M318">
        <v>0</v>
      </c>
      <c r="N318">
        <v>0</v>
      </c>
      <c r="O318" t="s">
        <v>42</v>
      </c>
      <c r="P318" t="s">
        <v>180</v>
      </c>
      <c r="Q318" t="s">
        <v>40</v>
      </c>
      <c r="R318">
        <v>197468</v>
      </c>
      <c r="S318" t="s">
        <v>44</v>
      </c>
      <c r="T318">
        <v>160</v>
      </c>
      <c r="U318" t="s">
        <v>54</v>
      </c>
      <c r="V318">
        <v>0</v>
      </c>
      <c r="W318">
        <v>0</v>
      </c>
      <c r="X318" t="s">
        <v>200</v>
      </c>
      <c r="Y318" t="s">
        <v>40</v>
      </c>
      <c r="Z318" t="s">
        <v>40</v>
      </c>
      <c r="AA318" t="s">
        <v>40</v>
      </c>
      <c r="AB318" t="s">
        <v>40</v>
      </c>
      <c r="AC318" t="s">
        <v>40</v>
      </c>
      <c r="AD318" t="s">
        <v>40</v>
      </c>
      <c r="AE318" t="s">
        <v>40</v>
      </c>
      <c r="AF318" t="s">
        <v>40</v>
      </c>
      <c r="AG318" s="1">
        <v>45575</v>
      </c>
      <c r="AH318">
        <v>400</v>
      </c>
      <c r="AI318" t="s">
        <v>40</v>
      </c>
      <c r="AJ318" t="s">
        <v>40</v>
      </c>
      <c r="AK318" t="s">
        <v>40</v>
      </c>
      <c r="AL318" t="s">
        <v>40</v>
      </c>
      <c r="AM318" t="s">
        <v>329</v>
      </c>
      <c r="AN318" t="s">
        <v>325</v>
      </c>
      <c r="AO318">
        <v>401</v>
      </c>
    </row>
    <row r="319" spans="1:41" x14ac:dyDescent="0.3">
      <c r="A319">
        <v>1221581</v>
      </c>
      <c r="B319" t="s">
        <v>100</v>
      </c>
      <c r="C319" t="str">
        <f>_xlfn.XLOOKUP(B319,Match!$A$2:$A$111,Match!$B$2:$B$111)</f>
        <v>Pinellas, FL</v>
      </c>
      <c r="D319" t="str">
        <f>_xlfn.XLOOKUP(C319,Validation!$B$2:$B$68,Validation!$A$2:$A$68)</f>
        <v>12103</v>
      </c>
      <c r="E319" t="s">
        <v>40</v>
      </c>
      <c r="F319" s="1">
        <v>45574</v>
      </c>
      <c r="G319">
        <v>1000</v>
      </c>
      <c r="H319" t="s">
        <v>190</v>
      </c>
      <c r="I319" t="s">
        <v>40</v>
      </c>
      <c r="J319" t="s">
        <v>40</v>
      </c>
      <c r="K319">
        <v>0</v>
      </c>
      <c r="L319">
        <v>0</v>
      </c>
      <c r="M319">
        <v>43000000</v>
      </c>
      <c r="N319">
        <v>0</v>
      </c>
      <c r="O319" t="s">
        <v>42</v>
      </c>
      <c r="P319" t="s">
        <v>180</v>
      </c>
      <c r="Q319" t="s">
        <v>40</v>
      </c>
      <c r="R319">
        <v>197468</v>
      </c>
      <c r="S319" t="s">
        <v>44</v>
      </c>
      <c r="T319">
        <v>50</v>
      </c>
      <c r="U319" t="s">
        <v>54</v>
      </c>
      <c r="V319">
        <v>0</v>
      </c>
      <c r="W319">
        <v>0</v>
      </c>
      <c r="X319" t="s">
        <v>200</v>
      </c>
      <c r="Y319" t="s">
        <v>40</v>
      </c>
      <c r="Z319" t="s">
        <v>40</v>
      </c>
      <c r="AA319" t="s">
        <v>40</v>
      </c>
      <c r="AB319" t="s">
        <v>40</v>
      </c>
      <c r="AC319" t="s">
        <v>40</v>
      </c>
      <c r="AD319" t="s">
        <v>40</v>
      </c>
      <c r="AE319" t="s">
        <v>40</v>
      </c>
      <c r="AF319" t="s">
        <v>40</v>
      </c>
      <c r="AG319" s="1">
        <v>45575</v>
      </c>
      <c r="AH319">
        <v>700</v>
      </c>
      <c r="AI319" t="s">
        <v>40</v>
      </c>
      <c r="AJ319" t="s">
        <v>40</v>
      </c>
      <c r="AK319" t="s">
        <v>40</v>
      </c>
      <c r="AL319" t="s">
        <v>40</v>
      </c>
      <c r="AM319" t="s">
        <v>330</v>
      </c>
      <c r="AN319" t="s">
        <v>325</v>
      </c>
      <c r="AO319">
        <v>402</v>
      </c>
    </row>
    <row r="320" spans="1:41" x14ac:dyDescent="0.3">
      <c r="A320">
        <v>1221582</v>
      </c>
      <c r="B320" t="s">
        <v>60</v>
      </c>
      <c r="C320" t="str">
        <f>_xlfn.XLOOKUP(B320,Match!$A$2:$A$111,Match!$B$2:$B$111)</f>
        <v>Polk, FL</v>
      </c>
      <c r="D320" t="str">
        <f>_xlfn.XLOOKUP(C320,Validation!$B$2:$B$68,Validation!$A$2:$A$68)</f>
        <v>12105</v>
      </c>
      <c r="E320" t="s">
        <v>40</v>
      </c>
      <c r="F320" s="1">
        <v>45574</v>
      </c>
      <c r="G320">
        <v>1300</v>
      </c>
      <c r="H320" t="s">
        <v>190</v>
      </c>
      <c r="I320" t="s">
        <v>40</v>
      </c>
      <c r="J320" t="s">
        <v>40</v>
      </c>
      <c r="K320">
        <v>0</v>
      </c>
      <c r="L320">
        <v>0</v>
      </c>
      <c r="M320">
        <v>0</v>
      </c>
      <c r="N320">
        <v>0</v>
      </c>
      <c r="O320" t="s">
        <v>42</v>
      </c>
      <c r="P320" t="s">
        <v>180</v>
      </c>
      <c r="Q320" t="s">
        <v>40</v>
      </c>
      <c r="R320">
        <v>197468</v>
      </c>
      <c r="S320" t="s">
        <v>44</v>
      </c>
      <c r="T320">
        <v>52</v>
      </c>
      <c r="U320" t="s">
        <v>54</v>
      </c>
      <c r="V320">
        <v>0</v>
      </c>
      <c r="W320">
        <v>0</v>
      </c>
      <c r="X320" t="s">
        <v>200</v>
      </c>
      <c r="Y320" t="s">
        <v>40</v>
      </c>
      <c r="Z320" t="s">
        <v>40</v>
      </c>
      <c r="AA320" t="s">
        <v>40</v>
      </c>
      <c r="AB320" t="s">
        <v>40</v>
      </c>
      <c r="AC320" t="s">
        <v>40</v>
      </c>
      <c r="AD320" t="s">
        <v>40</v>
      </c>
      <c r="AE320" t="s">
        <v>40</v>
      </c>
      <c r="AF320" t="s">
        <v>40</v>
      </c>
      <c r="AG320" s="1">
        <v>45575</v>
      </c>
      <c r="AH320">
        <v>1000</v>
      </c>
      <c r="AI320" t="s">
        <v>40</v>
      </c>
      <c r="AJ320" t="s">
        <v>40</v>
      </c>
      <c r="AK320" t="s">
        <v>40</v>
      </c>
      <c r="AL320" t="s">
        <v>40</v>
      </c>
      <c r="AM320" t="s">
        <v>331</v>
      </c>
      <c r="AN320" t="s">
        <v>325</v>
      </c>
      <c r="AO320">
        <v>403</v>
      </c>
    </row>
    <row r="321" spans="1:41" x14ac:dyDescent="0.3">
      <c r="A321">
        <v>1221580</v>
      </c>
      <c r="B321" t="s">
        <v>236</v>
      </c>
      <c r="C321" t="str">
        <f>_xlfn.XLOOKUP(B321,Match!$A$2:$A$111,Match!$B$2:$B$111)</f>
        <v>Hillsborough, FL</v>
      </c>
      <c r="D321" t="str">
        <f>_xlfn.XLOOKUP(C321,Validation!$B$2:$B$68,Validation!$A$2:$A$68)</f>
        <v>12057</v>
      </c>
      <c r="E321" t="s">
        <v>40</v>
      </c>
      <c r="F321" s="1">
        <v>45574</v>
      </c>
      <c r="G321">
        <v>1300</v>
      </c>
      <c r="H321" t="s">
        <v>190</v>
      </c>
      <c r="I321" t="s">
        <v>40</v>
      </c>
      <c r="J321" t="s">
        <v>40</v>
      </c>
      <c r="K321">
        <v>0</v>
      </c>
      <c r="L321">
        <v>0</v>
      </c>
      <c r="M321">
        <v>0</v>
      </c>
      <c r="N321">
        <v>0</v>
      </c>
      <c r="O321" t="s">
        <v>42</v>
      </c>
      <c r="P321" t="s">
        <v>180</v>
      </c>
      <c r="Q321" t="s">
        <v>40</v>
      </c>
      <c r="R321">
        <v>197468</v>
      </c>
      <c r="S321" t="s">
        <v>44</v>
      </c>
      <c r="T321">
        <v>251</v>
      </c>
      <c r="U321" t="s">
        <v>54</v>
      </c>
      <c r="V321">
        <v>0</v>
      </c>
      <c r="W321">
        <v>0</v>
      </c>
      <c r="X321" t="s">
        <v>200</v>
      </c>
      <c r="Y321" t="s">
        <v>40</v>
      </c>
      <c r="Z321" t="s">
        <v>40</v>
      </c>
      <c r="AA321" t="s">
        <v>40</v>
      </c>
      <c r="AB321" t="s">
        <v>40</v>
      </c>
      <c r="AC321" t="s">
        <v>40</v>
      </c>
      <c r="AD321" t="s">
        <v>40</v>
      </c>
      <c r="AE321" t="s">
        <v>40</v>
      </c>
      <c r="AF321" t="s">
        <v>40</v>
      </c>
      <c r="AG321" s="1">
        <v>45575</v>
      </c>
      <c r="AH321">
        <v>700</v>
      </c>
      <c r="AI321" t="s">
        <v>40</v>
      </c>
      <c r="AJ321" t="s">
        <v>40</v>
      </c>
      <c r="AK321" t="s">
        <v>40</v>
      </c>
      <c r="AL321" t="s">
        <v>40</v>
      </c>
      <c r="AM321" t="s">
        <v>332</v>
      </c>
      <c r="AN321" t="s">
        <v>325</v>
      </c>
      <c r="AO321">
        <v>404</v>
      </c>
    </row>
    <row r="322" spans="1:41" x14ac:dyDescent="0.3">
      <c r="A322">
        <v>1221584</v>
      </c>
      <c r="B322" t="s">
        <v>233</v>
      </c>
      <c r="C322" t="str">
        <f>_xlfn.XLOOKUP(B322,Match!$A$2:$A$111,Match!$B$2:$B$111)</f>
        <v>Manatee, FL</v>
      </c>
      <c r="D322" t="str">
        <f>_xlfn.XLOOKUP(C322,Validation!$B$2:$B$68,Validation!$A$2:$A$68)</f>
        <v>12081</v>
      </c>
      <c r="E322" t="s">
        <v>40</v>
      </c>
      <c r="F322" s="1">
        <v>45574</v>
      </c>
      <c r="G322">
        <v>1300</v>
      </c>
      <c r="H322" t="s">
        <v>190</v>
      </c>
      <c r="I322" t="s">
        <v>40</v>
      </c>
      <c r="J322" t="s">
        <v>40</v>
      </c>
      <c r="K322">
        <v>0</v>
      </c>
      <c r="L322">
        <v>0</v>
      </c>
      <c r="M322">
        <v>0</v>
      </c>
      <c r="N322">
        <v>0</v>
      </c>
      <c r="O322" t="s">
        <v>42</v>
      </c>
      <c r="P322" t="s">
        <v>180</v>
      </c>
      <c r="Q322" t="s">
        <v>40</v>
      </c>
      <c r="R322">
        <v>197468</v>
      </c>
      <c r="S322" t="s">
        <v>44</v>
      </c>
      <c r="T322">
        <v>255</v>
      </c>
      <c r="U322" t="s">
        <v>54</v>
      </c>
      <c r="V322">
        <v>0</v>
      </c>
      <c r="W322">
        <v>0</v>
      </c>
      <c r="X322" t="s">
        <v>200</v>
      </c>
      <c r="Y322" t="s">
        <v>40</v>
      </c>
      <c r="Z322" t="s">
        <v>40</v>
      </c>
      <c r="AA322" t="s">
        <v>40</v>
      </c>
      <c r="AB322" t="s">
        <v>40</v>
      </c>
      <c r="AC322" t="s">
        <v>40</v>
      </c>
      <c r="AD322" t="s">
        <v>40</v>
      </c>
      <c r="AE322" t="s">
        <v>40</v>
      </c>
      <c r="AF322" t="s">
        <v>40</v>
      </c>
      <c r="AG322" s="1">
        <v>45575</v>
      </c>
      <c r="AH322">
        <v>700</v>
      </c>
      <c r="AI322" t="s">
        <v>40</v>
      </c>
      <c r="AJ322" t="s">
        <v>40</v>
      </c>
      <c r="AK322" t="s">
        <v>40</v>
      </c>
      <c r="AL322" t="s">
        <v>40</v>
      </c>
      <c r="AM322" t="s">
        <v>333</v>
      </c>
      <c r="AN322" t="s">
        <v>325</v>
      </c>
      <c r="AO322">
        <v>405</v>
      </c>
    </row>
    <row r="323" spans="1:41" x14ac:dyDescent="0.3">
      <c r="A323">
        <v>1221586</v>
      </c>
      <c r="B323" t="s">
        <v>226</v>
      </c>
      <c r="C323" t="str">
        <f>_xlfn.XLOOKUP(B323,Match!$A$2:$A$111,Match!$B$2:$B$111)</f>
        <v>Sarasota, FL</v>
      </c>
      <c r="D323" t="str">
        <f>_xlfn.XLOOKUP(C323,Validation!$B$2:$B$68,Validation!$A$2:$A$68)</f>
        <v>12115</v>
      </c>
      <c r="E323" t="s">
        <v>40</v>
      </c>
      <c r="F323" s="1">
        <v>45574</v>
      </c>
      <c r="G323">
        <v>1300</v>
      </c>
      <c r="H323" t="s">
        <v>190</v>
      </c>
      <c r="I323" t="s">
        <v>40</v>
      </c>
      <c r="J323" t="s">
        <v>40</v>
      </c>
      <c r="K323">
        <v>0</v>
      </c>
      <c r="L323">
        <v>0</v>
      </c>
      <c r="M323">
        <v>0</v>
      </c>
      <c r="N323">
        <v>0</v>
      </c>
      <c r="O323" t="s">
        <v>42</v>
      </c>
      <c r="P323" t="s">
        <v>180</v>
      </c>
      <c r="Q323" t="s">
        <v>40</v>
      </c>
      <c r="R323">
        <v>197468</v>
      </c>
      <c r="S323" t="s">
        <v>44</v>
      </c>
      <c r="T323">
        <v>260</v>
      </c>
      <c r="U323" t="s">
        <v>54</v>
      </c>
      <c r="V323">
        <v>0</v>
      </c>
      <c r="W323">
        <v>0</v>
      </c>
      <c r="X323" t="s">
        <v>200</v>
      </c>
      <c r="Y323" t="s">
        <v>40</v>
      </c>
      <c r="Z323" t="s">
        <v>40</v>
      </c>
      <c r="AA323" t="s">
        <v>40</v>
      </c>
      <c r="AB323" t="s">
        <v>40</v>
      </c>
      <c r="AC323" t="s">
        <v>40</v>
      </c>
      <c r="AD323" t="s">
        <v>40</v>
      </c>
      <c r="AE323" t="s">
        <v>40</v>
      </c>
      <c r="AF323" t="s">
        <v>40</v>
      </c>
      <c r="AG323" s="1">
        <v>45575</v>
      </c>
      <c r="AH323">
        <v>700</v>
      </c>
      <c r="AI323" t="s">
        <v>40</v>
      </c>
      <c r="AJ323" t="s">
        <v>40</v>
      </c>
      <c r="AK323" t="s">
        <v>40</v>
      </c>
      <c r="AL323" t="s">
        <v>40</v>
      </c>
      <c r="AM323" t="s">
        <v>334</v>
      </c>
      <c r="AN323" t="s">
        <v>325</v>
      </c>
      <c r="AO323">
        <v>406</v>
      </c>
    </row>
    <row r="324" spans="1:41" x14ac:dyDescent="0.3">
      <c r="A324">
        <v>1221593</v>
      </c>
      <c r="B324" t="s">
        <v>64</v>
      </c>
      <c r="C324" t="str">
        <f>_xlfn.XLOOKUP(B324,Match!$A$2:$A$111,Match!$B$2:$B$111)</f>
        <v>Hardee, FL</v>
      </c>
      <c r="D324" t="str">
        <f>_xlfn.XLOOKUP(C324,Validation!$B$2:$B$68,Validation!$A$2:$A$68)</f>
        <v>12049</v>
      </c>
      <c r="E324" t="s">
        <v>40</v>
      </c>
      <c r="F324" s="1">
        <v>45574</v>
      </c>
      <c r="G324">
        <v>1300</v>
      </c>
      <c r="H324" t="s">
        <v>190</v>
      </c>
      <c r="I324" t="s">
        <v>40</v>
      </c>
      <c r="J324" t="s">
        <v>40</v>
      </c>
      <c r="K324">
        <v>0</v>
      </c>
      <c r="L324">
        <v>0</v>
      </c>
      <c r="M324">
        <v>0</v>
      </c>
      <c r="N324">
        <v>0</v>
      </c>
      <c r="O324" t="s">
        <v>42</v>
      </c>
      <c r="P324" t="s">
        <v>180</v>
      </c>
      <c r="Q324" t="s">
        <v>40</v>
      </c>
      <c r="R324">
        <v>197468</v>
      </c>
      <c r="S324" t="s">
        <v>44</v>
      </c>
      <c r="T324">
        <v>56</v>
      </c>
      <c r="U324" t="s">
        <v>54</v>
      </c>
      <c r="V324">
        <v>0</v>
      </c>
      <c r="W324">
        <v>0</v>
      </c>
      <c r="X324" t="s">
        <v>200</v>
      </c>
      <c r="Y324" t="s">
        <v>40</v>
      </c>
      <c r="Z324" t="s">
        <v>40</v>
      </c>
      <c r="AA324" t="s">
        <v>40</v>
      </c>
      <c r="AB324" t="s">
        <v>40</v>
      </c>
      <c r="AC324" t="s">
        <v>40</v>
      </c>
      <c r="AD324" t="s">
        <v>40</v>
      </c>
      <c r="AE324" t="s">
        <v>40</v>
      </c>
      <c r="AF324" t="s">
        <v>40</v>
      </c>
      <c r="AG324" s="1">
        <v>45575</v>
      </c>
      <c r="AH324">
        <v>700</v>
      </c>
      <c r="AI324" t="s">
        <v>40</v>
      </c>
      <c r="AJ324" t="s">
        <v>40</v>
      </c>
      <c r="AK324" t="s">
        <v>40</v>
      </c>
      <c r="AL324" t="s">
        <v>40</v>
      </c>
      <c r="AM324" t="s">
        <v>335</v>
      </c>
      <c r="AN324" t="s">
        <v>325</v>
      </c>
      <c r="AO324">
        <v>407</v>
      </c>
    </row>
    <row r="325" spans="1:41" x14ac:dyDescent="0.3">
      <c r="A325">
        <v>1221595</v>
      </c>
      <c r="B325" t="s">
        <v>53</v>
      </c>
      <c r="C325" t="str">
        <f>_xlfn.XLOOKUP(B325,Match!$A$2:$A$111,Match!$B$2:$B$111)</f>
        <v>DeSoto, FL</v>
      </c>
      <c r="D325" t="str">
        <f>_xlfn.XLOOKUP(C325,Validation!$B$2:$B$68,Validation!$A$2:$A$68)</f>
        <v>12027</v>
      </c>
      <c r="E325" t="s">
        <v>40</v>
      </c>
      <c r="F325" s="1">
        <v>45574</v>
      </c>
      <c r="G325">
        <v>1300</v>
      </c>
      <c r="H325" t="s">
        <v>190</v>
      </c>
      <c r="I325" t="s">
        <v>40</v>
      </c>
      <c r="J325" t="s">
        <v>40</v>
      </c>
      <c r="K325">
        <v>0</v>
      </c>
      <c r="L325">
        <v>0</v>
      </c>
      <c r="M325">
        <v>0</v>
      </c>
      <c r="N325">
        <v>0</v>
      </c>
      <c r="O325" t="s">
        <v>42</v>
      </c>
      <c r="P325" t="s">
        <v>180</v>
      </c>
      <c r="Q325" t="s">
        <v>40</v>
      </c>
      <c r="R325">
        <v>197468</v>
      </c>
      <c r="S325" t="s">
        <v>44</v>
      </c>
      <c r="T325">
        <v>61</v>
      </c>
      <c r="U325" t="s">
        <v>54</v>
      </c>
      <c r="V325">
        <v>0</v>
      </c>
      <c r="W325">
        <v>0</v>
      </c>
      <c r="X325" t="s">
        <v>200</v>
      </c>
      <c r="Y325" t="s">
        <v>40</v>
      </c>
      <c r="Z325" t="s">
        <v>40</v>
      </c>
      <c r="AA325" t="s">
        <v>40</v>
      </c>
      <c r="AB325" t="s">
        <v>40</v>
      </c>
      <c r="AC325" t="s">
        <v>40</v>
      </c>
      <c r="AD325" t="s">
        <v>40</v>
      </c>
      <c r="AE325" t="s">
        <v>40</v>
      </c>
      <c r="AF325" t="s">
        <v>40</v>
      </c>
      <c r="AG325" s="1">
        <v>45575</v>
      </c>
      <c r="AH325">
        <v>700</v>
      </c>
      <c r="AI325" t="s">
        <v>40</v>
      </c>
      <c r="AJ325" t="s">
        <v>40</v>
      </c>
      <c r="AK325" t="s">
        <v>40</v>
      </c>
      <c r="AL325" t="s">
        <v>40</v>
      </c>
      <c r="AM325" t="s">
        <v>336</v>
      </c>
      <c r="AN325" t="s">
        <v>325</v>
      </c>
      <c r="AO325">
        <v>408</v>
      </c>
    </row>
    <row r="326" spans="1:41" x14ac:dyDescent="0.3">
      <c r="A326">
        <v>1221597</v>
      </c>
      <c r="B326" t="s">
        <v>58</v>
      </c>
      <c r="C326" t="str">
        <f>_xlfn.XLOOKUP(B326,Match!$A$2:$A$111,Match!$B$2:$B$111)</f>
        <v>Highlands, FL</v>
      </c>
      <c r="D326" t="str">
        <f>_xlfn.XLOOKUP(C326,Validation!$B$2:$B$68,Validation!$A$2:$A$68)</f>
        <v>12055</v>
      </c>
      <c r="E326" t="s">
        <v>40</v>
      </c>
      <c r="F326" s="1">
        <v>45574</v>
      </c>
      <c r="G326">
        <v>1300</v>
      </c>
      <c r="H326" t="s">
        <v>190</v>
      </c>
      <c r="I326" t="s">
        <v>40</v>
      </c>
      <c r="J326" t="s">
        <v>40</v>
      </c>
      <c r="K326">
        <v>0</v>
      </c>
      <c r="L326">
        <v>0</v>
      </c>
      <c r="M326">
        <v>0</v>
      </c>
      <c r="N326">
        <v>0</v>
      </c>
      <c r="O326" t="s">
        <v>42</v>
      </c>
      <c r="P326" t="s">
        <v>180</v>
      </c>
      <c r="Q326" t="s">
        <v>40</v>
      </c>
      <c r="R326">
        <v>197468</v>
      </c>
      <c r="S326" t="s">
        <v>44</v>
      </c>
      <c r="T326">
        <v>57</v>
      </c>
      <c r="U326" t="s">
        <v>54</v>
      </c>
      <c r="V326">
        <v>0</v>
      </c>
      <c r="W326">
        <v>0</v>
      </c>
      <c r="X326" t="s">
        <v>200</v>
      </c>
      <c r="Y326" t="s">
        <v>40</v>
      </c>
      <c r="Z326" t="s">
        <v>40</v>
      </c>
      <c r="AA326" t="s">
        <v>40</v>
      </c>
      <c r="AB326" t="s">
        <v>40</v>
      </c>
      <c r="AC326" t="s">
        <v>40</v>
      </c>
      <c r="AD326" t="s">
        <v>40</v>
      </c>
      <c r="AE326" t="s">
        <v>40</v>
      </c>
      <c r="AF326" t="s">
        <v>40</v>
      </c>
      <c r="AG326" s="1">
        <v>45575</v>
      </c>
      <c r="AH326">
        <v>700</v>
      </c>
      <c r="AI326" t="s">
        <v>40</v>
      </c>
      <c r="AJ326" t="s">
        <v>40</v>
      </c>
      <c r="AK326" t="s">
        <v>40</v>
      </c>
      <c r="AL326" t="s">
        <v>40</v>
      </c>
      <c r="AM326" t="s">
        <v>337</v>
      </c>
      <c r="AN326" t="s">
        <v>325</v>
      </c>
      <c r="AO326">
        <v>409</v>
      </c>
    </row>
    <row r="327" spans="1:41" x14ac:dyDescent="0.3">
      <c r="A327">
        <v>1223911</v>
      </c>
      <c r="B327" t="s">
        <v>238</v>
      </c>
      <c r="C327" t="str">
        <f>_xlfn.XLOOKUP(B327,Match!$A$2:$A$111,Match!$B$2:$B$111)</f>
        <v>Hillsborough, FL</v>
      </c>
      <c r="D327" t="str">
        <f>_xlfn.XLOOKUP(C327,Validation!$B$2:$B$68,Validation!$A$2:$A$68)</f>
        <v>12057</v>
      </c>
      <c r="E327" t="s">
        <v>40</v>
      </c>
      <c r="F327" s="1">
        <v>45574</v>
      </c>
      <c r="G327">
        <v>1647</v>
      </c>
      <c r="H327" t="s">
        <v>190</v>
      </c>
      <c r="I327" t="s">
        <v>40</v>
      </c>
      <c r="J327" t="s">
        <v>40</v>
      </c>
      <c r="K327">
        <v>0</v>
      </c>
      <c r="L327">
        <v>0</v>
      </c>
      <c r="M327">
        <v>0</v>
      </c>
      <c r="N327">
        <v>0</v>
      </c>
      <c r="O327" t="s">
        <v>42</v>
      </c>
      <c r="P327" t="s">
        <v>180</v>
      </c>
      <c r="Q327" t="s">
        <v>40</v>
      </c>
      <c r="R327">
        <v>197468</v>
      </c>
      <c r="S327" t="s">
        <v>44</v>
      </c>
      <c r="T327">
        <v>151</v>
      </c>
      <c r="U327" t="s">
        <v>54</v>
      </c>
      <c r="V327">
        <v>0</v>
      </c>
      <c r="W327">
        <v>0</v>
      </c>
      <c r="X327" t="s">
        <v>338</v>
      </c>
      <c r="Y327" t="s">
        <v>40</v>
      </c>
      <c r="Z327" t="s">
        <v>40</v>
      </c>
      <c r="AA327" t="s">
        <v>40</v>
      </c>
      <c r="AB327" t="s">
        <v>40</v>
      </c>
      <c r="AC327" t="s">
        <v>40</v>
      </c>
      <c r="AD327" t="s">
        <v>40</v>
      </c>
      <c r="AE327" t="s">
        <v>40</v>
      </c>
      <c r="AF327" t="s">
        <v>40</v>
      </c>
      <c r="AG327" s="1">
        <v>45574</v>
      </c>
      <c r="AH327">
        <v>1647</v>
      </c>
      <c r="AI327" t="s">
        <v>40</v>
      </c>
      <c r="AJ327" t="s">
        <v>40</v>
      </c>
      <c r="AK327" t="s">
        <v>40</v>
      </c>
      <c r="AL327" t="s">
        <v>40</v>
      </c>
      <c r="AM327" t="s">
        <v>339</v>
      </c>
      <c r="AN327" t="s">
        <v>325</v>
      </c>
      <c r="AO327">
        <v>410</v>
      </c>
    </row>
    <row r="328" spans="1:41" x14ac:dyDescent="0.3">
      <c r="A328">
        <v>1223904</v>
      </c>
      <c r="B328" t="s">
        <v>100</v>
      </c>
      <c r="C328" t="str">
        <f>_xlfn.XLOOKUP(B328,Match!$A$2:$A$111,Match!$B$2:$B$111)</f>
        <v>Pinellas, FL</v>
      </c>
      <c r="D328" t="str">
        <f>_xlfn.XLOOKUP(C328,Validation!$B$2:$B$68,Validation!$A$2:$A$68)</f>
        <v>12103</v>
      </c>
      <c r="E328" t="s">
        <v>40</v>
      </c>
      <c r="F328" s="1">
        <v>45574</v>
      </c>
      <c r="G328">
        <v>1928</v>
      </c>
      <c r="H328" t="s">
        <v>190</v>
      </c>
      <c r="I328" t="s">
        <v>40</v>
      </c>
      <c r="J328" t="s">
        <v>40</v>
      </c>
      <c r="K328">
        <v>0</v>
      </c>
      <c r="L328">
        <v>0</v>
      </c>
      <c r="M328">
        <v>0</v>
      </c>
      <c r="N328">
        <v>0</v>
      </c>
      <c r="O328" t="s">
        <v>42</v>
      </c>
      <c r="P328" t="s">
        <v>180</v>
      </c>
      <c r="Q328" t="s">
        <v>40</v>
      </c>
      <c r="R328">
        <v>197468</v>
      </c>
      <c r="S328" t="s">
        <v>44</v>
      </c>
      <c r="T328">
        <v>50</v>
      </c>
      <c r="U328" t="s">
        <v>54</v>
      </c>
      <c r="V328">
        <v>0</v>
      </c>
      <c r="W328">
        <v>0</v>
      </c>
      <c r="X328" t="s">
        <v>340</v>
      </c>
      <c r="Y328" t="s">
        <v>40</v>
      </c>
      <c r="Z328" t="s">
        <v>40</v>
      </c>
      <c r="AA328" t="s">
        <v>40</v>
      </c>
      <c r="AB328" t="s">
        <v>40</v>
      </c>
      <c r="AC328" t="s">
        <v>40</v>
      </c>
      <c r="AD328" t="s">
        <v>40</v>
      </c>
      <c r="AE328" t="s">
        <v>40</v>
      </c>
      <c r="AF328" t="s">
        <v>40</v>
      </c>
      <c r="AG328" s="1">
        <v>45574</v>
      </c>
      <c r="AH328">
        <v>1928</v>
      </c>
      <c r="AI328" t="s">
        <v>40</v>
      </c>
      <c r="AJ328" t="s">
        <v>40</v>
      </c>
      <c r="AK328" t="s">
        <v>40</v>
      </c>
      <c r="AL328" t="s">
        <v>40</v>
      </c>
      <c r="AM328" t="s">
        <v>341</v>
      </c>
      <c r="AN328" t="s">
        <v>325</v>
      </c>
      <c r="AO328">
        <v>411</v>
      </c>
    </row>
    <row r="329" spans="1:41" x14ac:dyDescent="0.3">
      <c r="A329">
        <v>1223903</v>
      </c>
      <c r="B329" t="s">
        <v>222</v>
      </c>
      <c r="C329" t="str">
        <f>_xlfn.XLOOKUP(B329,Match!$A$2:$A$111,Match!$B$2:$B$111)</f>
        <v>Charlotte, FL</v>
      </c>
      <c r="D329" t="str">
        <f>_xlfn.XLOOKUP(C329,Validation!$B$2:$B$68,Validation!$A$2:$A$68)</f>
        <v>12015</v>
      </c>
      <c r="E329" t="s">
        <v>40</v>
      </c>
      <c r="F329" s="1">
        <v>45574</v>
      </c>
      <c r="G329">
        <v>2325</v>
      </c>
      <c r="H329" t="s">
        <v>190</v>
      </c>
      <c r="I329" t="s">
        <v>40</v>
      </c>
      <c r="J329" t="s">
        <v>40</v>
      </c>
      <c r="K329">
        <v>0</v>
      </c>
      <c r="L329">
        <v>0</v>
      </c>
      <c r="M329">
        <v>0</v>
      </c>
      <c r="N329">
        <v>0</v>
      </c>
      <c r="O329" t="s">
        <v>42</v>
      </c>
      <c r="P329" t="s">
        <v>180</v>
      </c>
      <c r="Q329" t="s">
        <v>40</v>
      </c>
      <c r="R329">
        <v>197468</v>
      </c>
      <c r="S329" t="s">
        <v>44</v>
      </c>
      <c r="T329">
        <v>162</v>
      </c>
      <c r="U329" t="s">
        <v>54</v>
      </c>
      <c r="V329">
        <v>0</v>
      </c>
      <c r="W329">
        <v>0</v>
      </c>
      <c r="X329" t="s">
        <v>181</v>
      </c>
      <c r="Y329" t="s">
        <v>40</v>
      </c>
      <c r="Z329" t="s">
        <v>40</v>
      </c>
      <c r="AA329" t="s">
        <v>40</v>
      </c>
      <c r="AB329" t="s">
        <v>40</v>
      </c>
      <c r="AC329" t="s">
        <v>40</v>
      </c>
      <c r="AD329" t="s">
        <v>40</v>
      </c>
      <c r="AE329" t="s">
        <v>40</v>
      </c>
      <c r="AF329" t="s">
        <v>40</v>
      </c>
      <c r="AG329" s="1">
        <v>45574</v>
      </c>
      <c r="AH329">
        <v>2325</v>
      </c>
      <c r="AI329" t="s">
        <v>40</v>
      </c>
      <c r="AJ329" t="s">
        <v>40</v>
      </c>
      <c r="AK329" t="s">
        <v>40</v>
      </c>
      <c r="AL329" t="s">
        <v>40</v>
      </c>
      <c r="AM329" t="s">
        <v>342</v>
      </c>
      <c r="AN329" t="s">
        <v>325</v>
      </c>
      <c r="AO329">
        <v>412</v>
      </c>
    </row>
  </sheetData>
  <autoFilter ref="A1:AO329" xr:uid="{8FAB8976-BB50-452D-9B59-786842752B6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B48BD-02F3-4227-A0C4-803A9FBB6FC6}">
  <dimension ref="A1:B111"/>
  <sheetViews>
    <sheetView workbookViewId="0">
      <selection activeCell="B16" sqref="B16"/>
    </sheetView>
  </sheetViews>
  <sheetFormatPr defaultRowHeight="14.4" x14ac:dyDescent="0.3"/>
  <cols>
    <col min="1" max="1" width="42.5546875" bestFit="1" customWidth="1"/>
    <col min="2" max="2" width="33" bestFit="1" customWidth="1"/>
  </cols>
  <sheetData>
    <row r="1" spans="1:2" x14ac:dyDescent="0.3">
      <c r="A1" t="s">
        <v>1</v>
      </c>
      <c r="B1" s="3" t="s">
        <v>344</v>
      </c>
    </row>
    <row r="2" spans="1:2" x14ac:dyDescent="0.3">
      <c r="A2" t="str" cm="1">
        <f t="array" ref="A2:A111">_xlfn.UNIQUE(storm_data_search_results!B2:B329)</f>
        <v>COASTAL PALM BEACH (ZONE)</v>
      </c>
      <c r="B2" t="s">
        <v>444</v>
      </c>
    </row>
    <row r="3" spans="1:2" x14ac:dyDescent="0.3">
      <c r="A3" t="str">
        <v>COASTAL DADE (ZONE)</v>
      </c>
      <c r="B3" t="s">
        <v>430</v>
      </c>
    </row>
    <row r="4" spans="1:2" x14ac:dyDescent="0.3">
      <c r="A4" t="str">
        <v>COASTAL BROWARD (ZONE)</v>
      </c>
      <c r="B4" t="s">
        <v>356</v>
      </c>
    </row>
    <row r="5" spans="1:2" x14ac:dyDescent="0.3">
      <c r="A5" t="str">
        <v>DE SOTO (ZONE)</v>
      </c>
      <c r="B5" t="s">
        <v>370</v>
      </c>
    </row>
    <row r="6" spans="1:2" x14ac:dyDescent="0.3">
      <c r="A6" t="str">
        <v>LEE (ZONE)</v>
      </c>
      <c r="B6" t="s">
        <v>414</v>
      </c>
    </row>
    <row r="7" spans="1:2" x14ac:dyDescent="0.3">
      <c r="A7" t="str">
        <v>HIGHLANDS (ZONE)</v>
      </c>
      <c r="B7" t="s">
        <v>398</v>
      </c>
    </row>
    <row r="8" spans="1:2" x14ac:dyDescent="0.3">
      <c r="A8" t="str">
        <v>CHARLOTTE (ZONE)</v>
      </c>
      <c r="B8" t="s">
        <v>360</v>
      </c>
    </row>
    <row r="9" spans="1:2" x14ac:dyDescent="0.3">
      <c r="A9" t="str">
        <v>POLK (ZONE)</v>
      </c>
      <c r="B9" t="s">
        <v>450</v>
      </c>
    </row>
    <row r="10" spans="1:2" x14ac:dyDescent="0.3">
      <c r="A10" t="str">
        <v>HILLSBOROUGH (ZONE)</v>
      </c>
      <c r="B10" t="s">
        <v>400</v>
      </c>
    </row>
    <row r="11" spans="1:2" x14ac:dyDescent="0.3">
      <c r="A11" t="str">
        <v>SARASOTA (ZONE)</v>
      </c>
      <c r="B11" t="s">
        <v>460</v>
      </c>
    </row>
    <row r="12" spans="1:2" x14ac:dyDescent="0.3">
      <c r="A12" t="str">
        <v>MANATEE (ZONE)</v>
      </c>
      <c r="B12" t="s">
        <v>424</v>
      </c>
    </row>
    <row r="13" spans="1:2" x14ac:dyDescent="0.3">
      <c r="A13" t="str">
        <v>HARDEE (ZONE)</v>
      </c>
      <c r="B13" t="s">
        <v>392</v>
      </c>
    </row>
    <row r="14" spans="1:2" x14ac:dyDescent="0.3">
      <c r="A14" t="str">
        <v>ST. LUCIE (ZONE)</v>
      </c>
      <c r="B14" t="s">
        <v>456</v>
      </c>
    </row>
    <row r="15" spans="1:2" x14ac:dyDescent="0.3">
      <c r="A15" t="str">
        <v>SEMINOLE (ZONE)</v>
      </c>
      <c r="B15" t="s">
        <v>462</v>
      </c>
    </row>
    <row r="16" spans="1:2" x14ac:dyDescent="0.3">
      <c r="A16" t="str">
        <v>BREVARD (ZONE)</v>
      </c>
      <c r="B16" t="s">
        <v>354</v>
      </c>
    </row>
    <row r="17" spans="1:2" x14ac:dyDescent="0.3">
      <c r="A17" t="str">
        <v>INDIAN RIVER (ZONE)</v>
      </c>
      <c r="B17" t="s">
        <v>404</v>
      </c>
    </row>
    <row r="18" spans="1:2" x14ac:dyDescent="0.3">
      <c r="A18" t="str">
        <v>ORANGE (ZONE)</v>
      </c>
      <c r="B18" t="s">
        <v>440</v>
      </c>
    </row>
    <row r="19" spans="1:2" x14ac:dyDescent="0.3">
      <c r="A19" t="str">
        <v>VOLUSIA (ZONE)</v>
      </c>
      <c r="B19" t="s">
        <v>472</v>
      </c>
    </row>
    <row r="20" spans="1:2" x14ac:dyDescent="0.3">
      <c r="A20" t="str">
        <v>FLAGLER (ZONE)</v>
      </c>
      <c r="B20" t="s">
        <v>378</v>
      </c>
    </row>
    <row r="21" spans="1:2" x14ac:dyDescent="0.3">
      <c r="A21" t="str">
        <v>ST. JOHNS (ZONE)</v>
      </c>
      <c r="B21" t="s">
        <v>454</v>
      </c>
    </row>
    <row r="22" spans="1:2" x14ac:dyDescent="0.3">
      <c r="A22" t="str">
        <v>DUVAL (ZONE)</v>
      </c>
      <c r="B22" t="s">
        <v>374</v>
      </c>
    </row>
    <row r="23" spans="1:2" x14ac:dyDescent="0.3">
      <c r="A23" t="str">
        <v>NASSAU (ZONE)</v>
      </c>
      <c r="B23" t="s">
        <v>434</v>
      </c>
    </row>
    <row r="24" spans="1:2" x14ac:dyDescent="0.3">
      <c r="A24" t="str">
        <v>MONROE/LOWER KEYS (ZONE)</v>
      </c>
      <c r="B24" t="s">
        <v>432</v>
      </c>
    </row>
    <row r="25" spans="1:2" x14ac:dyDescent="0.3">
      <c r="A25" t="str">
        <v>MONROE/MIDDLE KEYS (ZONE)</v>
      </c>
      <c r="B25" t="s">
        <v>432</v>
      </c>
    </row>
    <row r="26" spans="1:2" x14ac:dyDescent="0.3">
      <c r="A26" t="str">
        <v>MONROE/UPPER KEYS (ZONE)</v>
      </c>
      <c r="B26" t="s">
        <v>432</v>
      </c>
    </row>
    <row r="27" spans="1:2" x14ac:dyDescent="0.3">
      <c r="A27" t="str">
        <v>MARTIN (ZONE)</v>
      </c>
      <c r="B27" t="s">
        <v>428</v>
      </c>
    </row>
    <row r="28" spans="1:2" x14ac:dyDescent="0.3">
      <c r="A28" t="str">
        <v>PINELLAS (ZONE)</v>
      </c>
      <c r="B28" t="s">
        <v>448</v>
      </c>
    </row>
    <row r="29" spans="1:2" x14ac:dyDescent="0.3">
      <c r="A29" t="str">
        <v>PASCO (ZONE)</v>
      </c>
      <c r="B29" t="s">
        <v>446</v>
      </c>
    </row>
    <row r="30" spans="1:2" x14ac:dyDescent="0.3">
      <c r="A30" t="str">
        <v>LEVY (ZONE)</v>
      </c>
      <c r="B30" t="s">
        <v>418</v>
      </c>
    </row>
    <row r="31" spans="1:2" x14ac:dyDescent="0.3">
      <c r="A31" t="str">
        <v>HERNANDO (ZONE)</v>
      </c>
      <c r="B31" t="s">
        <v>396</v>
      </c>
    </row>
    <row r="32" spans="1:2" x14ac:dyDescent="0.3">
      <c r="A32" t="str">
        <v>CITRUS (ZONE)</v>
      </c>
      <c r="B32" t="s">
        <v>362</v>
      </c>
    </row>
    <row r="33" spans="1:2" x14ac:dyDescent="0.3">
      <c r="A33" t="str">
        <v>DIXIE (ZONE)</v>
      </c>
      <c r="B33" t="s">
        <v>372</v>
      </c>
    </row>
    <row r="34" spans="1:2" x14ac:dyDescent="0.3">
      <c r="A34" t="str">
        <v>FRANKLIN (ZONE)</v>
      </c>
      <c r="B34" t="s">
        <v>380</v>
      </c>
    </row>
    <row r="35" spans="1:2" x14ac:dyDescent="0.3">
      <c r="A35" t="str">
        <v>GADSDEN (ZONE)</v>
      </c>
      <c r="B35" t="s">
        <v>382</v>
      </c>
    </row>
    <row r="36" spans="1:2" x14ac:dyDescent="0.3">
      <c r="A36" t="str">
        <v>JEFFERSON (ZONE)</v>
      </c>
      <c r="B36" t="s">
        <v>408</v>
      </c>
    </row>
    <row r="37" spans="1:2" x14ac:dyDescent="0.3">
      <c r="A37" t="str">
        <v>LAFAYETTE (ZONE)</v>
      </c>
      <c r="B37" t="s">
        <v>410</v>
      </c>
    </row>
    <row r="38" spans="1:2" x14ac:dyDescent="0.3">
      <c r="A38" t="str">
        <v>LEON (ZONE)</v>
      </c>
      <c r="B38" t="s">
        <v>416</v>
      </c>
    </row>
    <row r="39" spans="1:2" x14ac:dyDescent="0.3">
      <c r="A39" t="str">
        <v>LIBERTY (ZONE)</v>
      </c>
      <c r="B39" t="s">
        <v>420</v>
      </c>
    </row>
    <row r="40" spans="1:2" x14ac:dyDescent="0.3">
      <c r="A40" t="str">
        <v>MADISON (ZONE)</v>
      </c>
      <c r="B40" t="s">
        <v>422</v>
      </c>
    </row>
    <row r="41" spans="1:2" x14ac:dyDescent="0.3">
      <c r="A41" t="str">
        <v>TAYLOR (ZONE)</v>
      </c>
      <c r="B41" t="s">
        <v>468</v>
      </c>
    </row>
    <row r="42" spans="1:2" x14ac:dyDescent="0.3">
      <c r="A42" t="str">
        <v>WAKULLA (ZONE)</v>
      </c>
      <c r="B42" t="s">
        <v>474</v>
      </c>
    </row>
    <row r="43" spans="1:2" x14ac:dyDescent="0.3">
      <c r="A43" t="str">
        <v>COASTAL COLLIER (ZONE)</v>
      </c>
      <c r="B43" t="s">
        <v>366</v>
      </c>
    </row>
    <row r="44" spans="1:2" x14ac:dyDescent="0.3">
      <c r="A44" t="str">
        <v>HENDRY (ZONE)</v>
      </c>
      <c r="B44" t="s">
        <v>394</v>
      </c>
    </row>
    <row r="45" spans="1:2" x14ac:dyDescent="0.3">
      <c r="A45" t="str">
        <v>GLADES (ZONE)</v>
      </c>
      <c r="B45" t="s">
        <v>386</v>
      </c>
    </row>
    <row r="46" spans="1:2" x14ac:dyDescent="0.3">
      <c r="A46" t="str">
        <v>INLAND COLLIER (ZONE)</v>
      </c>
      <c r="B46" t="s">
        <v>366</v>
      </c>
    </row>
    <row r="47" spans="1:2" x14ac:dyDescent="0.3">
      <c r="A47" t="str">
        <v>INLAND PALM BEACH (ZONE)</v>
      </c>
      <c r="B47" t="s">
        <v>444</v>
      </c>
    </row>
    <row r="48" spans="1:2" x14ac:dyDescent="0.3">
      <c r="A48" t="str">
        <v>INLAND ESCAMBIA (ZONE)</v>
      </c>
      <c r="B48" t="s">
        <v>376</v>
      </c>
    </row>
    <row r="49" spans="1:2" x14ac:dyDescent="0.3">
      <c r="A49" t="str">
        <v>COASTAL SANTA ROSA (ZONE)</v>
      </c>
      <c r="B49" t="s">
        <v>479</v>
      </c>
    </row>
    <row r="50" spans="1:2" x14ac:dyDescent="0.3">
      <c r="A50" t="str">
        <v>COASTAL OKALOOSA (ZONE)</v>
      </c>
      <c r="B50" t="s">
        <v>436</v>
      </c>
    </row>
    <row r="51" spans="1:2" x14ac:dyDescent="0.3">
      <c r="A51" t="str">
        <v>COASTAL ESCAMBIA (ZONE)</v>
      </c>
      <c r="B51" t="s">
        <v>376</v>
      </c>
    </row>
    <row r="52" spans="1:2" x14ac:dyDescent="0.3">
      <c r="A52" t="str">
        <v>INLAND SANTA ROSA (ZONE)</v>
      </c>
      <c r="B52" t="s">
        <v>458</v>
      </c>
    </row>
    <row r="53" spans="1:2" x14ac:dyDescent="0.3">
      <c r="A53" t="str">
        <v>INLAND OKALOOSA (ZONE)</v>
      </c>
      <c r="B53" t="s">
        <v>436</v>
      </c>
    </row>
    <row r="54" spans="1:2" x14ac:dyDescent="0.3">
      <c r="A54" t="str">
        <v>BAY (ZONE)</v>
      </c>
      <c r="B54" t="s">
        <v>350</v>
      </c>
    </row>
    <row r="55" spans="1:2" x14ac:dyDescent="0.3">
      <c r="A55" t="str">
        <v>INLAND WALTON (ZONE)</v>
      </c>
      <c r="B55" t="s">
        <v>476</v>
      </c>
    </row>
    <row r="56" spans="1:2" x14ac:dyDescent="0.3">
      <c r="A56" t="str">
        <v>HOLMES (ZONE)</v>
      </c>
      <c r="B56" t="s">
        <v>402</v>
      </c>
    </row>
    <row r="57" spans="1:2" x14ac:dyDescent="0.3">
      <c r="A57" t="str">
        <v>GULF (ZONE)</v>
      </c>
      <c r="B57" t="s">
        <v>388</v>
      </c>
    </row>
    <row r="58" spans="1:2" x14ac:dyDescent="0.3">
      <c r="A58" t="str">
        <v>WASHINGTON (ZONE)</v>
      </c>
      <c r="B58" t="s">
        <v>477</v>
      </c>
    </row>
    <row r="59" spans="1:2" x14ac:dyDescent="0.3">
      <c r="A59" t="str">
        <v>JACKSON (ZONE)</v>
      </c>
      <c r="B59" t="s">
        <v>406</v>
      </c>
    </row>
    <row r="60" spans="1:2" x14ac:dyDescent="0.3">
      <c r="A60" t="str">
        <v>CALHOUN (ZONE)</v>
      </c>
      <c r="B60" t="s">
        <v>358</v>
      </c>
    </row>
    <row r="61" spans="1:2" x14ac:dyDescent="0.3">
      <c r="A61" t="str">
        <v>COASTAL WALTON (ZONE)</v>
      </c>
      <c r="B61" t="s">
        <v>476</v>
      </c>
    </row>
    <row r="62" spans="1:2" x14ac:dyDescent="0.3">
      <c r="A62" t="str">
        <v>COASTAL FRANKLIN (ZONE)</v>
      </c>
      <c r="B62" t="s">
        <v>380</v>
      </c>
    </row>
    <row r="63" spans="1:2" x14ac:dyDescent="0.3">
      <c r="A63" t="str">
        <v>INLAND FRANKLIN (ZONE)</v>
      </c>
      <c r="B63" t="s">
        <v>380</v>
      </c>
    </row>
    <row r="64" spans="1:2" x14ac:dyDescent="0.3">
      <c r="A64" t="str">
        <v>COASTAL WAKULLA (ZONE)</v>
      </c>
      <c r="B64" t="s">
        <v>474</v>
      </c>
    </row>
    <row r="65" spans="1:2" x14ac:dyDescent="0.3">
      <c r="A65" t="str">
        <v>INLAND WAKULLA (ZONE)</v>
      </c>
      <c r="B65" t="s">
        <v>474</v>
      </c>
    </row>
    <row r="66" spans="1:2" x14ac:dyDescent="0.3">
      <c r="A66" t="str">
        <v>COASTAL JEFFERSON (ZONE)</v>
      </c>
      <c r="B66" t="s">
        <v>408</v>
      </c>
    </row>
    <row r="67" spans="1:2" x14ac:dyDescent="0.3">
      <c r="A67" t="str">
        <v>INLAND JEFFERSON (ZONE)</v>
      </c>
      <c r="B67" t="s">
        <v>408</v>
      </c>
    </row>
    <row r="68" spans="1:2" x14ac:dyDescent="0.3">
      <c r="A68" t="str">
        <v>COASTAL TAYLOR (ZONE)</v>
      </c>
      <c r="B68" t="s">
        <v>468</v>
      </c>
    </row>
    <row r="69" spans="1:2" x14ac:dyDescent="0.3">
      <c r="A69" t="str">
        <v>INLAND TAYLOR (ZONE)</v>
      </c>
      <c r="B69" t="s">
        <v>468</v>
      </c>
    </row>
    <row r="70" spans="1:2" x14ac:dyDescent="0.3">
      <c r="A70" t="str">
        <v>COASTAL PASCO (ZONE)</v>
      </c>
      <c r="B70" t="s">
        <v>446</v>
      </c>
    </row>
    <row r="71" spans="1:2" x14ac:dyDescent="0.3">
      <c r="A71" t="str">
        <v>MAINLAND MONROE (ZONE)</v>
      </c>
      <c r="B71" t="s">
        <v>432</v>
      </c>
    </row>
    <row r="72" spans="1:2" x14ac:dyDescent="0.3">
      <c r="A72" t="str">
        <v>FAR SOUTH MIAMI-DADE COUNTY (ZONE)</v>
      </c>
      <c r="B72" t="s">
        <v>430</v>
      </c>
    </row>
    <row r="73" spans="1:2" x14ac:dyDescent="0.3">
      <c r="A73" t="str">
        <v>INLAND MIAMI-DADE (ZONE)</v>
      </c>
      <c r="B73" t="s">
        <v>430</v>
      </c>
    </row>
    <row r="74" spans="1:2" x14ac:dyDescent="0.3">
      <c r="A74" t="str">
        <v>COASTAL COLLIER COUNTY (ZONE)</v>
      </c>
      <c r="B74" t="s">
        <v>366</v>
      </c>
    </row>
    <row r="75" spans="1:2" x14ac:dyDescent="0.3">
      <c r="A75" t="str">
        <v>INLAND COLLIER COUNTY (ZONE)</v>
      </c>
      <c r="B75" t="s">
        <v>366</v>
      </c>
    </row>
    <row r="76" spans="1:2" x14ac:dyDescent="0.3">
      <c r="A76" t="str">
        <v>INLAND CHARLOTTE (ZONE)</v>
      </c>
      <c r="B76" t="s">
        <v>360</v>
      </c>
    </row>
    <row r="77" spans="1:2" x14ac:dyDescent="0.3">
      <c r="A77" t="str">
        <v>INLAND LEE (ZONE)</v>
      </c>
      <c r="B77" t="s">
        <v>414</v>
      </c>
    </row>
    <row r="78" spans="1:2" x14ac:dyDescent="0.3">
      <c r="A78" t="str">
        <v>COASTAL CHARLOTTE (ZONE)</v>
      </c>
      <c r="B78" t="s">
        <v>360</v>
      </c>
    </row>
    <row r="79" spans="1:2" x14ac:dyDescent="0.3">
      <c r="A79" t="str">
        <v>COASTAL LEE (ZONE)</v>
      </c>
      <c r="B79" t="s">
        <v>414</v>
      </c>
    </row>
    <row r="80" spans="1:2" x14ac:dyDescent="0.3">
      <c r="A80" t="str">
        <v>INLAND SARASOTA (ZONE)</v>
      </c>
      <c r="B80" t="s">
        <v>460</v>
      </c>
    </row>
    <row r="81" spans="1:2" x14ac:dyDescent="0.3">
      <c r="A81" t="str">
        <v>COASTAL SARASOTA (ZONE)</v>
      </c>
      <c r="B81" t="s">
        <v>460</v>
      </c>
    </row>
    <row r="82" spans="1:2" x14ac:dyDescent="0.3">
      <c r="A82" t="str">
        <v>COASTAL MANATEE (ZONE)</v>
      </c>
      <c r="B82" t="s">
        <v>424</v>
      </c>
    </row>
    <row r="83" spans="1:2" x14ac:dyDescent="0.3">
      <c r="A83" t="str">
        <v>INLAND MANATEE (ZONE)</v>
      </c>
      <c r="B83" t="s">
        <v>424</v>
      </c>
    </row>
    <row r="84" spans="1:2" x14ac:dyDescent="0.3">
      <c r="A84" t="str">
        <v>INLAND HILLSBOROUGH (ZONE)</v>
      </c>
      <c r="B84" t="s">
        <v>400</v>
      </c>
    </row>
    <row r="85" spans="1:2" x14ac:dyDescent="0.3">
      <c r="A85" t="str">
        <v>COASTAL HILLSBOROUGH (ZONE)</v>
      </c>
      <c r="B85" t="s">
        <v>400</v>
      </c>
    </row>
    <row r="86" spans="1:2" x14ac:dyDescent="0.3">
      <c r="A86" t="str">
        <v>INLAND BAY (ZONE)</v>
      </c>
      <c r="B86" t="s">
        <v>350</v>
      </c>
    </row>
    <row r="87" spans="1:2" x14ac:dyDescent="0.3">
      <c r="A87" t="str">
        <v>INLAND GULF (ZONE)</v>
      </c>
      <c r="B87" t="s">
        <v>388</v>
      </c>
    </row>
    <row r="88" spans="1:2" x14ac:dyDescent="0.3">
      <c r="A88" t="str">
        <v>COASTAL BAY (ZONE)</v>
      </c>
      <c r="B88" t="s">
        <v>350</v>
      </c>
    </row>
    <row r="89" spans="1:2" x14ac:dyDescent="0.3">
      <c r="A89" t="str">
        <v>COASTAL GULF (ZONE)</v>
      </c>
      <c r="B89" t="s">
        <v>388</v>
      </c>
    </row>
    <row r="90" spans="1:2" x14ac:dyDescent="0.3">
      <c r="A90" t="str">
        <v>ESCAMBIA COASTAL (ZONE)</v>
      </c>
      <c r="B90" t="s">
        <v>376</v>
      </c>
    </row>
    <row r="91" spans="1:2" x14ac:dyDescent="0.3">
      <c r="A91" t="str">
        <v>ESCAMBIA INLAND (ZONE)</v>
      </c>
      <c r="B91" t="s">
        <v>376</v>
      </c>
    </row>
    <row r="92" spans="1:2" x14ac:dyDescent="0.3">
      <c r="A92" t="str">
        <v>OSCEOLA (ZONE)</v>
      </c>
      <c r="B92" t="s">
        <v>442</v>
      </c>
    </row>
    <row r="93" spans="1:2" x14ac:dyDescent="0.3">
      <c r="A93" t="str">
        <v>OKEECHOBEE (ZONE)</v>
      </c>
      <c r="B93" t="s">
        <v>438</v>
      </c>
    </row>
    <row r="94" spans="1:2" x14ac:dyDescent="0.3">
      <c r="A94" t="str">
        <v>COASTAL INDIAN RIVER (ZONE)</v>
      </c>
      <c r="B94" t="s">
        <v>404</v>
      </c>
    </row>
    <row r="95" spans="1:2" x14ac:dyDescent="0.3">
      <c r="A95" t="str">
        <v>INLAND INDIAN RIVER (ZONE)</v>
      </c>
      <c r="B95" t="s">
        <v>404</v>
      </c>
    </row>
    <row r="96" spans="1:2" x14ac:dyDescent="0.3">
      <c r="A96" t="str">
        <v>NORTHERN BREVARD BARRIER ISLANDS (ZONE)</v>
      </c>
      <c r="B96" t="s">
        <v>354</v>
      </c>
    </row>
    <row r="97" spans="1:2" x14ac:dyDescent="0.3">
      <c r="A97" t="str">
        <v>MAINLAND SOUTHERN BREVARD (ZONE)</v>
      </c>
      <c r="B97" t="s">
        <v>354</v>
      </c>
    </row>
    <row r="98" spans="1:2" x14ac:dyDescent="0.3">
      <c r="A98" t="str">
        <v>INLAND NORTHERN BREVARD (ZONE)</v>
      </c>
      <c r="B98" t="s">
        <v>354</v>
      </c>
    </row>
    <row r="99" spans="1:2" x14ac:dyDescent="0.3">
      <c r="A99" t="str">
        <v>MAINLAND NORTHERN BREVARD (ZONE)</v>
      </c>
      <c r="B99" t="s">
        <v>354</v>
      </c>
    </row>
    <row r="100" spans="1:2" x14ac:dyDescent="0.3">
      <c r="A100" t="str">
        <v>SOUTHERN BREVARD BARRIER ISLANDS (ZONE)</v>
      </c>
      <c r="B100" t="s">
        <v>354</v>
      </c>
    </row>
    <row r="101" spans="1:2" x14ac:dyDescent="0.3">
      <c r="A101" t="str">
        <v>INLAND SOUTHERN BREVARD (ZONE)</v>
      </c>
      <c r="B101" t="s">
        <v>354</v>
      </c>
    </row>
    <row r="102" spans="1:2" x14ac:dyDescent="0.3">
      <c r="A102" t="str">
        <v>COASTAL DIXIE (ZONE)</v>
      </c>
      <c r="B102" t="s">
        <v>372</v>
      </c>
    </row>
    <row r="103" spans="1:2" x14ac:dyDescent="0.3">
      <c r="A103" t="str">
        <v>INLAND DIXIE (ZONE)</v>
      </c>
      <c r="B103" t="s">
        <v>372</v>
      </c>
    </row>
    <row r="104" spans="1:2" x14ac:dyDescent="0.3">
      <c r="A104" t="str">
        <v>SUWANNEE (ZONE)</v>
      </c>
      <c r="B104" t="s">
        <v>466</v>
      </c>
    </row>
    <row r="105" spans="1:2" x14ac:dyDescent="0.3">
      <c r="A105" t="str">
        <v>HAMILTON (ZONE)</v>
      </c>
      <c r="B105" t="s">
        <v>390</v>
      </c>
    </row>
    <row r="106" spans="1:2" x14ac:dyDescent="0.3">
      <c r="A106" t="str">
        <v>GILCHRIST (ZONE)</v>
      </c>
      <c r="B106" t="s">
        <v>384</v>
      </c>
    </row>
    <row r="107" spans="1:2" x14ac:dyDescent="0.3">
      <c r="A107" t="str">
        <v>SOUTHWR COLUMBIA (ZONE)</v>
      </c>
      <c r="B107" t="s">
        <v>368</v>
      </c>
    </row>
    <row r="108" spans="1:2" x14ac:dyDescent="0.3">
      <c r="A108" t="str">
        <v>EASTERN HAMILTON (ZONE)</v>
      </c>
      <c r="B108" t="s">
        <v>390</v>
      </c>
    </row>
    <row r="109" spans="1:2" x14ac:dyDescent="0.3">
      <c r="A109" t="str">
        <v>WR HAMILTON (ZONE)</v>
      </c>
      <c r="B109" t="s">
        <v>390</v>
      </c>
    </row>
    <row r="110" spans="1:2" x14ac:dyDescent="0.3">
      <c r="A110" t="str">
        <v>COASTAL FLAGLER (ZONE)</v>
      </c>
      <c r="B110" t="s">
        <v>378</v>
      </c>
    </row>
    <row r="111" spans="1:2" x14ac:dyDescent="0.3">
      <c r="A111" t="str">
        <v>INLAND FLAGLER (ZONE)</v>
      </c>
      <c r="B111" t="s">
        <v>378</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213AE21-9166-4A51-B5EC-06BACEAC6B46}">
          <x14:formula1>
            <xm:f>Validation!$B$2:$B$68</xm:f>
          </x14:formula1>
          <xm:sqref>B2:B111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5CD81-4EF1-4AC3-A901-D5D39FE118B4}">
  <dimension ref="A1:B68"/>
  <sheetViews>
    <sheetView topLeftCell="A35" workbookViewId="0"/>
  </sheetViews>
  <sheetFormatPr defaultRowHeight="14.4" x14ac:dyDescent="0.3"/>
  <sheetData>
    <row r="1" spans="1:2" x14ac:dyDescent="0.3">
      <c r="A1" s="3" t="s">
        <v>343</v>
      </c>
      <c r="B1" s="3" t="s">
        <v>344</v>
      </c>
    </row>
    <row r="2" spans="1:2" x14ac:dyDescent="0.3">
      <c r="A2" t="s">
        <v>345</v>
      </c>
      <c r="B2" t="s">
        <v>346</v>
      </c>
    </row>
    <row r="3" spans="1:2" x14ac:dyDescent="0.3">
      <c r="A3" t="s">
        <v>347</v>
      </c>
      <c r="B3" t="s">
        <v>348</v>
      </c>
    </row>
    <row r="4" spans="1:2" x14ac:dyDescent="0.3">
      <c r="A4" t="s">
        <v>349</v>
      </c>
      <c r="B4" t="s">
        <v>350</v>
      </c>
    </row>
    <row r="5" spans="1:2" x14ac:dyDescent="0.3">
      <c r="A5" t="s">
        <v>351</v>
      </c>
      <c r="B5" t="s">
        <v>352</v>
      </c>
    </row>
    <row r="6" spans="1:2" x14ac:dyDescent="0.3">
      <c r="A6" t="s">
        <v>353</v>
      </c>
      <c r="B6" t="s">
        <v>354</v>
      </c>
    </row>
    <row r="7" spans="1:2" x14ac:dyDescent="0.3">
      <c r="A7" t="s">
        <v>355</v>
      </c>
      <c r="B7" t="s">
        <v>356</v>
      </c>
    </row>
    <row r="8" spans="1:2" x14ac:dyDescent="0.3">
      <c r="A8" t="s">
        <v>357</v>
      </c>
      <c r="B8" t="s">
        <v>358</v>
      </c>
    </row>
    <row r="9" spans="1:2" x14ac:dyDescent="0.3">
      <c r="A9" t="s">
        <v>359</v>
      </c>
      <c r="B9" t="s">
        <v>360</v>
      </c>
    </row>
    <row r="10" spans="1:2" x14ac:dyDescent="0.3">
      <c r="A10" t="s">
        <v>361</v>
      </c>
      <c r="B10" t="s">
        <v>362</v>
      </c>
    </row>
    <row r="11" spans="1:2" x14ac:dyDescent="0.3">
      <c r="A11" t="s">
        <v>363</v>
      </c>
      <c r="B11" t="s">
        <v>364</v>
      </c>
    </row>
    <row r="12" spans="1:2" x14ac:dyDescent="0.3">
      <c r="A12" t="s">
        <v>365</v>
      </c>
      <c r="B12" t="s">
        <v>366</v>
      </c>
    </row>
    <row r="13" spans="1:2" x14ac:dyDescent="0.3">
      <c r="A13" t="s">
        <v>367</v>
      </c>
      <c r="B13" t="s">
        <v>368</v>
      </c>
    </row>
    <row r="14" spans="1:2" x14ac:dyDescent="0.3">
      <c r="A14" t="s">
        <v>369</v>
      </c>
      <c r="B14" t="s">
        <v>370</v>
      </c>
    </row>
    <row r="15" spans="1:2" x14ac:dyDescent="0.3">
      <c r="A15" t="s">
        <v>371</v>
      </c>
      <c r="B15" t="s">
        <v>372</v>
      </c>
    </row>
    <row r="16" spans="1:2" x14ac:dyDescent="0.3">
      <c r="A16" t="s">
        <v>373</v>
      </c>
      <c r="B16" t="s">
        <v>374</v>
      </c>
    </row>
    <row r="17" spans="1:2" x14ac:dyDescent="0.3">
      <c r="A17" t="s">
        <v>375</v>
      </c>
      <c r="B17" t="s">
        <v>376</v>
      </c>
    </row>
    <row r="18" spans="1:2" x14ac:dyDescent="0.3">
      <c r="A18" t="s">
        <v>377</v>
      </c>
      <c r="B18" t="s">
        <v>378</v>
      </c>
    </row>
    <row r="19" spans="1:2" x14ac:dyDescent="0.3">
      <c r="A19" t="s">
        <v>379</v>
      </c>
      <c r="B19" t="s">
        <v>380</v>
      </c>
    </row>
    <row r="20" spans="1:2" x14ac:dyDescent="0.3">
      <c r="A20" t="s">
        <v>381</v>
      </c>
      <c r="B20" t="s">
        <v>382</v>
      </c>
    </row>
    <row r="21" spans="1:2" x14ac:dyDescent="0.3">
      <c r="A21" t="s">
        <v>383</v>
      </c>
      <c r="B21" t="s">
        <v>384</v>
      </c>
    </row>
    <row r="22" spans="1:2" x14ac:dyDescent="0.3">
      <c r="A22" t="s">
        <v>385</v>
      </c>
      <c r="B22" t="s">
        <v>386</v>
      </c>
    </row>
    <row r="23" spans="1:2" x14ac:dyDescent="0.3">
      <c r="A23" t="s">
        <v>387</v>
      </c>
      <c r="B23" t="s">
        <v>388</v>
      </c>
    </row>
    <row r="24" spans="1:2" x14ac:dyDescent="0.3">
      <c r="A24" t="s">
        <v>389</v>
      </c>
      <c r="B24" t="s">
        <v>390</v>
      </c>
    </row>
    <row r="25" spans="1:2" x14ac:dyDescent="0.3">
      <c r="A25" t="s">
        <v>391</v>
      </c>
      <c r="B25" t="s">
        <v>392</v>
      </c>
    </row>
    <row r="26" spans="1:2" x14ac:dyDescent="0.3">
      <c r="A26" t="s">
        <v>393</v>
      </c>
      <c r="B26" t="s">
        <v>394</v>
      </c>
    </row>
    <row r="27" spans="1:2" x14ac:dyDescent="0.3">
      <c r="A27" t="s">
        <v>395</v>
      </c>
      <c r="B27" t="s">
        <v>396</v>
      </c>
    </row>
    <row r="28" spans="1:2" x14ac:dyDescent="0.3">
      <c r="A28" t="s">
        <v>397</v>
      </c>
      <c r="B28" t="s">
        <v>398</v>
      </c>
    </row>
    <row r="29" spans="1:2" x14ac:dyDescent="0.3">
      <c r="A29" t="s">
        <v>399</v>
      </c>
      <c r="B29" t="s">
        <v>400</v>
      </c>
    </row>
    <row r="30" spans="1:2" x14ac:dyDescent="0.3">
      <c r="A30" t="s">
        <v>401</v>
      </c>
      <c r="B30" t="s">
        <v>402</v>
      </c>
    </row>
    <row r="31" spans="1:2" x14ac:dyDescent="0.3">
      <c r="A31" t="s">
        <v>403</v>
      </c>
      <c r="B31" t="s">
        <v>404</v>
      </c>
    </row>
    <row r="32" spans="1:2" x14ac:dyDescent="0.3">
      <c r="A32" t="s">
        <v>405</v>
      </c>
      <c r="B32" t="s">
        <v>406</v>
      </c>
    </row>
    <row r="33" spans="1:2" x14ac:dyDescent="0.3">
      <c r="A33" t="s">
        <v>407</v>
      </c>
      <c r="B33" t="s">
        <v>408</v>
      </c>
    </row>
    <row r="34" spans="1:2" x14ac:dyDescent="0.3">
      <c r="A34" t="s">
        <v>409</v>
      </c>
      <c r="B34" t="s">
        <v>410</v>
      </c>
    </row>
    <row r="35" spans="1:2" x14ac:dyDescent="0.3">
      <c r="A35" t="s">
        <v>411</v>
      </c>
      <c r="B35" t="s">
        <v>412</v>
      </c>
    </row>
    <row r="36" spans="1:2" x14ac:dyDescent="0.3">
      <c r="A36" t="s">
        <v>413</v>
      </c>
      <c r="B36" t="s">
        <v>414</v>
      </c>
    </row>
    <row r="37" spans="1:2" x14ac:dyDescent="0.3">
      <c r="A37" t="s">
        <v>415</v>
      </c>
      <c r="B37" t="s">
        <v>416</v>
      </c>
    </row>
    <row r="38" spans="1:2" x14ac:dyDescent="0.3">
      <c r="A38" t="s">
        <v>417</v>
      </c>
      <c r="B38" t="s">
        <v>418</v>
      </c>
    </row>
    <row r="39" spans="1:2" x14ac:dyDescent="0.3">
      <c r="A39" t="s">
        <v>419</v>
      </c>
      <c r="B39" t="s">
        <v>420</v>
      </c>
    </row>
    <row r="40" spans="1:2" x14ac:dyDescent="0.3">
      <c r="A40" t="s">
        <v>421</v>
      </c>
      <c r="B40" t="s">
        <v>422</v>
      </c>
    </row>
    <row r="41" spans="1:2" x14ac:dyDescent="0.3">
      <c r="A41" t="s">
        <v>423</v>
      </c>
      <c r="B41" t="s">
        <v>424</v>
      </c>
    </row>
    <row r="42" spans="1:2" x14ac:dyDescent="0.3">
      <c r="A42" t="s">
        <v>425</v>
      </c>
      <c r="B42" t="s">
        <v>426</v>
      </c>
    </row>
    <row r="43" spans="1:2" x14ac:dyDescent="0.3">
      <c r="A43" t="s">
        <v>427</v>
      </c>
      <c r="B43" t="s">
        <v>428</v>
      </c>
    </row>
    <row r="44" spans="1:2" x14ac:dyDescent="0.3">
      <c r="A44" t="s">
        <v>429</v>
      </c>
      <c r="B44" t="s">
        <v>430</v>
      </c>
    </row>
    <row r="45" spans="1:2" x14ac:dyDescent="0.3">
      <c r="A45" t="s">
        <v>431</v>
      </c>
      <c r="B45" t="s">
        <v>432</v>
      </c>
    </row>
    <row r="46" spans="1:2" x14ac:dyDescent="0.3">
      <c r="A46" t="s">
        <v>433</v>
      </c>
      <c r="B46" t="s">
        <v>434</v>
      </c>
    </row>
    <row r="47" spans="1:2" x14ac:dyDescent="0.3">
      <c r="A47" t="s">
        <v>435</v>
      </c>
      <c r="B47" t="s">
        <v>436</v>
      </c>
    </row>
    <row r="48" spans="1:2" x14ac:dyDescent="0.3">
      <c r="A48" t="s">
        <v>437</v>
      </c>
      <c r="B48" t="s">
        <v>438</v>
      </c>
    </row>
    <row r="49" spans="1:2" x14ac:dyDescent="0.3">
      <c r="A49" t="s">
        <v>439</v>
      </c>
      <c r="B49" t="s">
        <v>440</v>
      </c>
    </row>
    <row r="50" spans="1:2" x14ac:dyDescent="0.3">
      <c r="A50" t="s">
        <v>441</v>
      </c>
      <c r="B50" t="s">
        <v>442</v>
      </c>
    </row>
    <row r="51" spans="1:2" x14ac:dyDescent="0.3">
      <c r="A51" t="s">
        <v>443</v>
      </c>
      <c r="B51" t="s">
        <v>444</v>
      </c>
    </row>
    <row r="52" spans="1:2" x14ac:dyDescent="0.3">
      <c r="A52" t="s">
        <v>445</v>
      </c>
      <c r="B52" t="s">
        <v>446</v>
      </c>
    </row>
    <row r="53" spans="1:2" x14ac:dyDescent="0.3">
      <c r="A53" t="s">
        <v>447</v>
      </c>
      <c r="B53" t="s">
        <v>448</v>
      </c>
    </row>
    <row r="54" spans="1:2" x14ac:dyDescent="0.3">
      <c r="A54" t="s">
        <v>449</v>
      </c>
      <c r="B54" t="s">
        <v>450</v>
      </c>
    </row>
    <row r="55" spans="1:2" x14ac:dyDescent="0.3">
      <c r="A55" t="s">
        <v>451</v>
      </c>
      <c r="B55" t="s">
        <v>452</v>
      </c>
    </row>
    <row r="56" spans="1:2" x14ac:dyDescent="0.3">
      <c r="A56" t="s">
        <v>453</v>
      </c>
      <c r="B56" t="s">
        <v>454</v>
      </c>
    </row>
    <row r="57" spans="1:2" x14ac:dyDescent="0.3">
      <c r="A57" t="s">
        <v>455</v>
      </c>
      <c r="B57" t="s">
        <v>456</v>
      </c>
    </row>
    <row r="58" spans="1:2" x14ac:dyDescent="0.3">
      <c r="A58" t="s">
        <v>457</v>
      </c>
      <c r="B58" t="s">
        <v>458</v>
      </c>
    </row>
    <row r="59" spans="1:2" x14ac:dyDescent="0.3">
      <c r="A59" t="s">
        <v>459</v>
      </c>
      <c r="B59" t="s">
        <v>460</v>
      </c>
    </row>
    <row r="60" spans="1:2" x14ac:dyDescent="0.3">
      <c r="A60" t="s">
        <v>461</v>
      </c>
      <c r="B60" t="s">
        <v>462</v>
      </c>
    </row>
    <row r="61" spans="1:2" x14ac:dyDescent="0.3">
      <c r="A61" t="s">
        <v>463</v>
      </c>
      <c r="B61" t="s">
        <v>464</v>
      </c>
    </row>
    <row r="62" spans="1:2" x14ac:dyDescent="0.3">
      <c r="A62" t="s">
        <v>465</v>
      </c>
      <c r="B62" t="s">
        <v>466</v>
      </c>
    </row>
    <row r="63" spans="1:2" x14ac:dyDescent="0.3">
      <c r="A63" t="s">
        <v>467</v>
      </c>
      <c r="B63" t="s">
        <v>468</v>
      </c>
    </row>
    <row r="64" spans="1:2" x14ac:dyDescent="0.3">
      <c r="A64" t="s">
        <v>469</v>
      </c>
      <c r="B64" t="s">
        <v>470</v>
      </c>
    </row>
    <row r="65" spans="1:2" x14ac:dyDescent="0.3">
      <c r="A65" t="s">
        <v>471</v>
      </c>
      <c r="B65" t="s">
        <v>472</v>
      </c>
    </row>
    <row r="66" spans="1:2" x14ac:dyDescent="0.3">
      <c r="A66" t="s">
        <v>473</v>
      </c>
      <c r="B66" t="s">
        <v>474</v>
      </c>
    </row>
    <row r="67" spans="1:2" x14ac:dyDescent="0.3">
      <c r="A67" t="s">
        <v>475</v>
      </c>
      <c r="B67" t="s">
        <v>476</v>
      </c>
    </row>
    <row r="68" spans="1:2" x14ac:dyDescent="0.3">
      <c r="A68">
        <v>12133</v>
      </c>
      <c r="B68" t="s">
        <v>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storm_data_search_results</vt:lpstr>
      <vt:lpstr>Match</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Glen Martin</cp:lastModifiedBy>
  <dcterms:created xsi:type="dcterms:W3CDTF">2025-05-04T19:48:40Z</dcterms:created>
  <dcterms:modified xsi:type="dcterms:W3CDTF">2025-12-24T03:04:45Z</dcterms:modified>
</cp:coreProperties>
</file>